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wner\Documents\"/>
    </mc:Choice>
  </mc:AlternateContent>
  <bookViews>
    <workbookView xWindow="0" yWindow="0" windowWidth="7470" windowHeight="2160"/>
  </bookViews>
  <sheets>
    <sheet name="Results" sheetId="17" r:id="rId1"/>
    <sheet name="CALCULATOR" sheetId="18" r:id="rId2"/>
    <sheet name="Dropdowns" sheetId="7" state="hidden" r:id="rId3"/>
    <sheet name="Charts" sheetId="19" r:id="rId4"/>
  </sheets>
  <definedNames>
    <definedName name="EndingPoint">#REF!</definedName>
    <definedName name="StartingPoint">#REF!</definedName>
    <definedName name="ValueOfHom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1" i="19" l="1"/>
  <c r="E51" i="19"/>
  <c r="B2" i="18"/>
  <c r="K17" i="17"/>
  <c r="K15" i="17"/>
  <c r="P2" i="17"/>
  <c r="K11" i="17" s="1"/>
  <c r="P14" i="17"/>
  <c r="K19" i="17" s="1"/>
  <c r="P16" i="17"/>
  <c r="P13" i="17"/>
  <c r="P10" i="17"/>
  <c r="P7" i="17"/>
  <c r="P4" i="17"/>
  <c r="P15" i="17"/>
  <c r="P12" i="17"/>
  <c r="P9" i="17"/>
  <c r="P6" i="17"/>
  <c r="P3" i="17"/>
  <c r="P11" i="17"/>
  <c r="P8" i="17"/>
  <c r="P5" i="17"/>
  <c r="K13" i="17" s="1"/>
  <c r="A27" i="19" l="1"/>
  <c r="A22" i="19"/>
  <c r="A17" i="19"/>
  <c r="A12" i="19"/>
  <c r="H8" i="19" l="1"/>
  <c r="H7" i="19"/>
  <c r="H6" i="19"/>
  <c r="H5" i="19"/>
  <c r="H4" i="19"/>
  <c r="G8" i="19"/>
  <c r="G7" i="19"/>
  <c r="G6" i="19"/>
  <c r="G5" i="19"/>
  <c r="G4" i="19"/>
  <c r="F8" i="19"/>
  <c r="F7" i="19"/>
  <c r="F6" i="19"/>
  <c r="F5" i="19"/>
  <c r="F4" i="19"/>
  <c r="D8" i="19"/>
  <c r="D7" i="19"/>
  <c r="D6" i="19"/>
  <c r="D5" i="19"/>
  <c r="D4" i="19"/>
  <c r="A7" i="19" l="1"/>
  <c r="B32" i="18"/>
  <c r="Q4" i="18" s="1"/>
  <c r="B25" i="18"/>
  <c r="N4" i="18" s="1"/>
  <c r="B18" i="18"/>
  <c r="K4" i="18" s="1"/>
  <c r="B11" i="18"/>
  <c r="H4" i="18" s="1"/>
  <c r="B4" i="18"/>
  <c r="E4" i="18" s="1"/>
  <c r="B26" i="17"/>
  <c r="B25" i="17"/>
  <c r="B24" i="17"/>
  <c r="B23" i="17"/>
  <c r="B22" i="17"/>
  <c r="B5" i="17"/>
  <c r="F2" i="17"/>
  <c r="I13" i="17"/>
  <c r="I15" i="17"/>
  <c r="I17" i="17"/>
  <c r="I19" i="17"/>
  <c r="E54" i="19" s="1"/>
  <c r="F54" i="19" s="1"/>
  <c r="I11" i="17"/>
  <c r="A4" i="19" s="1"/>
  <c r="B4" i="19" s="1"/>
  <c r="E2" i="18" l="1"/>
  <c r="B9" i="18"/>
  <c r="B16" i="18" s="1"/>
  <c r="B23" i="18" s="1"/>
  <c r="B30" i="18" s="1"/>
  <c r="B34" i="18" s="1"/>
  <c r="I26" i="17" s="1"/>
  <c r="C26" i="17"/>
  <c r="E26" i="17" s="1"/>
  <c r="D20" i="19"/>
  <c r="E20" i="19" s="1"/>
  <c r="E8" i="19"/>
  <c r="C25" i="17"/>
  <c r="E25" i="17" s="1"/>
  <c r="D17" i="19"/>
  <c r="E17" i="19" s="1"/>
  <c r="E7" i="19"/>
  <c r="C24" i="17"/>
  <c r="E24" i="17" s="1"/>
  <c r="D14" i="19"/>
  <c r="E14" i="19" s="1"/>
  <c r="E6" i="19"/>
  <c r="C22" i="17"/>
  <c r="E22" i="17" s="1"/>
  <c r="E4" i="19"/>
  <c r="C23" i="17"/>
  <c r="E23" i="17" s="1"/>
  <c r="D11" i="19"/>
  <c r="E11" i="19" s="1"/>
  <c r="E5" i="19"/>
  <c r="E6" i="18"/>
  <c r="H22" i="17" s="1"/>
  <c r="A9" i="19" s="1"/>
  <c r="B9" i="19" s="1"/>
  <c r="H2" i="18"/>
  <c r="K2" i="18" s="1"/>
  <c r="N2" i="18" s="1"/>
  <c r="Q2" i="18" s="1"/>
  <c r="Q6" i="18" s="1"/>
  <c r="H26" i="17" s="1"/>
  <c r="A29" i="19" s="1"/>
  <c r="B29" i="19" s="1"/>
  <c r="B6" i="18"/>
  <c r="I22" i="17" s="1"/>
  <c r="M22" i="17" s="1"/>
  <c r="B27" i="18" l="1"/>
  <c r="I25" i="17" s="1"/>
  <c r="M25" i="17" s="1"/>
  <c r="B20" i="18"/>
  <c r="I24" i="17" s="1"/>
  <c r="M24" i="17" s="1"/>
  <c r="N6" i="18"/>
  <c r="H25" i="17" s="1"/>
  <c r="A24" i="19" s="1"/>
  <c r="B24" i="19" s="1"/>
  <c r="H6" i="18"/>
  <c r="H23" i="17" s="1"/>
  <c r="A14" i="19" s="1"/>
  <c r="B14" i="19" s="1"/>
  <c r="K6" i="18"/>
  <c r="H24" i="17" s="1"/>
  <c r="A19" i="19" s="1"/>
  <c r="B19" i="19" s="1"/>
  <c r="B13" i="18"/>
  <c r="I23" i="17" s="1"/>
  <c r="M23" i="17" s="1"/>
  <c r="L22" i="17"/>
  <c r="M26" i="17"/>
  <c r="L26" i="17"/>
  <c r="L25" i="17" l="1"/>
  <c r="L23" i="17"/>
  <c r="L24" i="17"/>
</calcChain>
</file>

<file path=xl/sharedStrings.xml><?xml version="1.0" encoding="utf-8"?>
<sst xmlns="http://schemas.openxmlformats.org/spreadsheetml/2006/main" count="234" uniqueCount="149">
  <si>
    <t>Months of 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</si>
  <si>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</si>
  <si>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</si>
  <si>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</si>
  <si>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</si>
  <si>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</si>
  <si>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</si>
  <si>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</si>
  <si>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</si>
  <si>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</si>
  <si>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</si>
  <si>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</si>
  <si>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</si>
  <si>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 of week</t>
  </si>
  <si>
    <t>Monday</t>
  </si>
  <si>
    <t>Tuesday</t>
  </si>
  <si>
    <t>Wednesday</t>
  </si>
  <si>
    <t>Thursday</t>
  </si>
  <si>
    <t>Friday</t>
  </si>
  <si>
    <t>Saturday</t>
  </si>
  <si>
    <t>Sunday</t>
  </si>
  <si>
    <t>Miles away</t>
  </si>
  <si>
    <t>Npr</t>
  </si>
  <si>
    <t>pmt</t>
  </si>
  <si>
    <t>Counties</t>
  </si>
  <si>
    <t>TaxRates</t>
  </si>
  <si>
    <t>Salt Lake</t>
  </si>
  <si>
    <t>Cache</t>
  </si>
  <si>
    <t>Weber</t>
  </si>
  <si>
    <t>Utah</t>
  </si>
  <si>
    <t xml:space="preserve">ranges of miles away </t>
  </si>
  <si>
    <t>&lt;= 1</t>
  </si>
  <si>
    <t>&gt;=1</t>
  </si>
  <si>
    <t>&lt;=5</t>
  </si>
  <si>
    <t>&lt;=10</t>
  </si>
  <si>
    <t>&lt;=15</t>
  </si>
  <si>
    <t>&lt;=20</t>
  </si>
  <si>
    <t>&lt;=25</t>
  </si>
  <si>
    <t>&lt;=30</t>
  </si>
  <si>
    <t>&lt;=35</t>
  </si>
  <si>
    <t>&lt;=40</t>
  </si>
  <si>
    <t>&lt;=45</t>
  </si>
  <si>
    <t>&lt;=50</t>
  </si>
  <si>
    <t>&lt;=55</t>
  </si>
  <si>
    <t>&lt;=60</t>
  </si>
  <si>
    <t>&lt;=65</t>
  </si>
  <si>
    <t>&lt;=70</t>
  </si>
  <si>
    <t>&lt;=75</t>
  </si>
  <si>
    <t>&lt;=80</t>
  </si>
  <si>
    <t>&lt;=85</t>
  </si>
  <si>
    <t>&lt;=90</t>
  </si>
  <si>
    <t>&lt;=95</t>
  </si>
  <si>
    <t>&lt;=100</t>
  </si>
  <si>
    <t>Commute to School</t>
  </si>
  <si>
    <t>Should I buy this house</t>
  </si>
  <si>
    <t>Rate</t>
  </si>
  <si>
    <t>PV</t>
  </si>
  <si>
    <t>FV</t>
  </si>
  <si>
    <t>Enter Income per month</t>
  </si>
  <si>
    <t>Enter Current Expenses</t>
  </si>
  <si>
    <t>Enter Total House price of House 1</t>
  </si>
  <si>
    <t>Enter Total House price of House 3</t>
  </si>
  <si>
    <t>Enter Total House price of House 4</t>
  </si>
  <si>
    <t>Enter Total House price of House 5</t>
  </si>
  <si>
    <t>Enter Commute to Work for House 1</t>
  </si>
  <si>
    <t>Enter Commute to Work for House 2</t>
  </si>
  <si>
    <t>Enter Commute to Work for House 3</t>
  </si>
  <si>
    <t>Enter Commute to Work for House 4</t>
  </si>
  <si>
    <t>Enter Commute to Work for House 5</t>
  </si>
  <si>
    <t>Enter Total House price of House  2</t>
  </si>
  <si>
    <t>Enter Commute to School for House 1</t>
  </si>
  <si>
    <t>Enter Commute to School for House 2</t>
  </si>
  <si>
    <t>Enter Commute to School for House 3</t>
  </si>
  <si>
    <t>Enter Commute to School for House 4</t>
  </si>
  <si>
    <t>Enter Commute to School for House 5</t>
  </si>
  <si>
    <t>Enter Desired total commute</t>
  </si>
  <si>
    <t>Enter  Max total desired House price</t>
  </si>
  <si>
    <t>Choose County</t>
  </si>
  <si>
    <t>Property tax Rate</t>
  </si>
  <si>
    <t xml:space="preserve"> House  price</t>
  </si>
  <si>
    <t>House  Commute</t>
  </si>
  <si>
    <t>Savings</t>
  </si>
  <si>
    <t>Fv</t>
  </si>
  <si>
    <t>Loan year</t>
  </si>
  <si>
    <t>15 Year</t>
  </si>
  <si>
    <t>30 Year</t>
  </si>
  <si>
    <t>House 1 answer</t>
  </si>
  <si>
    <t>House 2 answer</t>
  </si>
  <si>
    <t>House 3 answer</t>
  </si>
  <si>
    <t>House 4 answer</t>
  </si>
  <si>
    <t>House 5 answer</t>
  </si>
  <si>
    <t>Should I buy this House  ?</t>
  </si>
  <si>
    <t>Enter Commute to Store for House 1</t>
  </si>
  <si>
    <t>Enter Commute to Store for House 2</t>
  </si>
  <si>
    <t>Enter Commute to Store for House 3</t>
  </si>
  <si>
    <t>Enter Commute to Store for House 4</t>
  </si>
  <si>
    <t>Enter Commute to Store for House 5</t>
  </si>
  <si>
    <t>Enter Price of House Insurance</t>
  </si>
  <si>
    <t>30 year House 1</t>
  </si>
  <si>
    <t>15 Year House 1</t>
  </si>
  <si>
    <t>30 year House 2</t>
  </si>
  <si>
    <t>30 year House 3</t>
  </si>
  <si>
    <t>30 year House 4</t>
  </si>
  <si>
    <t>30 year House 5</t>
  </si>
  <si>
    <t>15 Year House 2</t>
  </si>
  <si>
    <t>15 Year House 3</t>
  </si>
  <si>
    <t>15 Year House 4</t>
  </si>
  <si>
    <t>15 Year House 5</t>
  </si>
  <si>
    <t>Monthly payment for houses</t>
  </si>
  <si>
    <t>Can I afford this House</t>
  </si>
  <si>
    <t>Commute for House 1</t>
  </si>
  <si>
    <t>Price for House 1</t>
  </si>
  <si>
    <t>Rest of Money</t>
  </si>
  <si>
    <t>House Price</t>
  </si>
  <si>
    <t>House Total Commute</t>
  </si>
  <si>
    <t>Commute to Work</t>
  </si>
  <si>
    <t>Commute to Store</t>
  </si>
  <si>
    <t>Rest of the day</t>
  </si>
  <si>
    <t>Price for House 2</t>
  </si>
  <si>
    <t xml:space="preserve">Payment for House 2, 15 year Loan </t>
  </si>
  <si>
    <t>Payment for House 1, 15 year Loan</t>
  </si>
  <si>
    <t>Price for House 3</t>
  </si>
  <si>
    <t>Payment for House 3, 15 Year Loan</t>
  </si>
  <si>
    <t>Rest of Loan</t>
  </si>
  <si>
    <t>Price for House 4</t>
  </si>
  <si>
    <t>Payment for House 4 ,15 Year Loan</t>
  </si>
  <si>
    <t>Price for House 5</t>
  </si>
  <si>
    <t>Payment for House 5 , 15 year Loan</t>
  </si>
  <si>
    <t xml:space="preserve"> Rest of Loan</t>
  </si>
  <si>
    <t>Total Commute for House 2</t>
  </si>
  <si>
    <t>Total Commute for House 3</t>
  </si>
  <si>
    <t>Total Commute for House 4</t>
  </si>
  <si>
    <t>Total Commute for House 5</t>
  </si>
  <si>
    <t>which is your greater priority?</t>
  </si>
  <si>
    <t>School</t>
  </si>
  <si>
    <t>Store</t>
  </si>
  <si>
    <t>Work</t>
  </si>
  <si>
    <t>House 1</t>
  </si>
  <si>
    <t>House 2</t>
  </si>
  <si>
    <t>House 3</t>
  </si>
  <si>
    <t>House 4</t>
  </si>
  <si>
    <t>House 5</t>
  </si>
  <si>
    <t>Enter Interest Rate</t>
  </si>
  <si>
    <t>Is this a good house for ideal commute?</t>
  </si>
  <si>
    <t>Priority</t>
  </si>
  <si>
    <t>Answer</t>
  </si>
  <si>
    <t xml:space="preserve">Total Commute of House </t>
  </si>
  <si>
    <t>Does this match my commute priority?</t>
  </si>
  <si>
    <t>Choose Commute Priority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</si>
</sst>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164" fontId="0" fillId="0" borderId="0" xfId="0" applyNumberFormat="1"/>
    <xf numFmtId="10" fontId="0" fillId="0" borderId="0" xfId="0" applyNumberFormat="1"/>
    <xf numFmtId="9" fontId="0" fillId="0" borderId="0" xfId="0" applyNumberFormat="1"/>
    <xf numFmtId="8" fontId="0" fillId="0" borderId="0" xfId="0" applyNumberFormat="1"/>
    <xf numFmtId="164" fontId="3" fillId="0" borderId="0" xfId="0" applyNumberFormat="1" applyFont="1"/>
    <xf numFmtId="0" fontId="3" fillId="0" borderId="0" xfId="0" applyFont="1"/>
    <xf numFmtId="9" fontId="3" fillId="0" borderId="0" xfId="0" applyNumberFormat="1" applyFont="1"/>
    <xf numFmtId="0" fontId="3" fillId="0" borderId="0" xfId="0" applyFont="1" applyFill="1"/>
    <xf numFmtId="0" fontId="3" fillId="2" borderId="0" xfId="0" applyFont="1" applyFill="1" applyProtection="1">
      <protection locked="0"/>
    </xf>
    <xf numFmtId="9" fontId="3" fillId="0" borderId="0" xfId="0" applyNumberFormat="1" applyFont="1" applyFill="1"/>
    <xf numFmtId="164" fontId="3" fillId="0" borderId="0" xfId="0" applyNumberFormat="1" applyFont="1" applyFill="1"/>
    <xf numFmtId="0" fontId="2" fillId="0" borderId="0" xfId="0" applyFont="1"/>
    <xf numFmtId="164" fontId="2" fillId="0" borderId="0" xfId="0" applyNumberFormat="1" applyFont="1"/>
    <xf numFmtId="0" fontId="2" fillId="0" borderId="0" xfId="0" applyNumberFormat="1" applyFont="1"/>
    <xf numFmtId="164" fontId="3" fillId="2" borderId="0" xfId="0" applyNumberFormat="1" applyFont="1" applyFill="1" applyProtection="1">
      <protection locked="0"/>
    </xf>
    <xf numFmtId="9" fontId="3" fillId="2" borderId="0" xfId="0" applyNumberFormat="1" applyFont="1" applyFill="1" applyProtection="1">
      <protection locked="0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House Payment for house</a:t>
            </a:r>
            <a:r>
              <a:rPr lang="en-US" baseline="0"/>
              <a:t> 1</a:t>
            </a:r>
            <a:r>
              <a:rPr lang="en-US"/>
              <a:t> compared to rest of money</a:t>
            </a:r>
          </a:p>
        </c:rich>
      </c:tx>
      <c:layout>
        <c:manualLayout>
          <c:xMode val="edge"/>
          <c:yMode val="edge"/>
          <c:x val="0.2317241379310345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6528192596615078"/>
          <c:y val="0.4123148148148148"/>
          <c:w val="0.26943597567545435"/>
          <c:h val="0.5697448235637212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Charts!$A$8:$B$8</c:f>
              <c:strCache>
                <c:ptCount val="2"/>
                <c:pt idx="0">
                  <c:v>Payment for House 1, 15 year Loan</c:v>
                </c:pt>
                <c:pt idx="1">
                  <c:v>Rest of Money</c:v>
                </c:pt>
              </c:strCache>
            </c:strRef>
          </c:cat>
          <c:val>
            <c:numRef>
              <c:f>Charts!$A$9:$B$9</c:f>
              <c:numCache>
                <c:formatCode>"$"#,##0.00</c:formatCode>
                <c:ptCount val="2"/>
                <c:pt idx="0">
                  <c:v>3119.9520163118955</c:v>
                </c:pt>
                <c:pt idx="1">
                  <c:v>225880.0479836881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Payment for House 2</a:t>
            </a:r>
          </a:p>
        </c:rich>
      </c:tx>
      <c:layout>
        <c:manualLayout>
          <c:xMode val="edge"/>
          <c:yMode val="edge"/>
          <c:x val="0.401159667541557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2911832895888016"/>
          <c:y val="0.20875000000000005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Charts!$A$13:$B$13</c:f>
              <c:strCache>
                <c:ptCount val="2"/>
                <c:pt idx="0">
                  <c:v>Payment for House 2, 15 year Loan </c:v>
                </c:pt>
                <c:pt idx="1">
                  <c:v>Rest of Money</c:v>
                </c:pt>
              </c:strCache>
            </c:strRef>
          </c:cat>
          <c:val>
            <c:numRef>
              <c:f>Charts!$A$14:$B$14</c:f>
              <c:numCache>
                <c:formatCode>"$"#,##0.00</c:formatCode>
                <c:ptCount val="2"/>
                <c:pt idx="0">
                  <c:v>916.86892875589342</c:v>
                </c:pt>
                <c:pt idx="1">
                  <c:v>41083.131071244105</c:v>
                </c:pt>
              </c:numCache>
            </c:numRef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Payments for house 5 compared to rest of money</a:t>
            </a:r>
          </a:p>
        </c:rich>
      </c:tx>
      <c:layout>
        <c:manualLayout>
          <c:xMode val="edge"/>
          <c:yMode val="edge"/>
          <c:x val="7.4055555555555541E-2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>
                <c:manualLayout>
                  <c:x val="0.27222222222222214"/>
                  <c:y val="7.87037037037037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Charts!$A$28:$B$28</c:f>
              <c:strCache>
                <c:ptCount val="2"/>
                <c:pt idx="0">
                  <c:v>Payment for House 5 , 15 year Loan</c:v>
                </c:pt>
                <c:pt idx="1">
                  <c:v> Rest of Loan</c:v>
                </c:pt>
              </c:strCache>
            </c:strRef>
          </c:cat>
          <c:val>
            <c:numRef>
              <c:f>Charts!$A$29:$B$29</c:f>
              <c:numCache>
                <c:formatCode>General</c:formatCode>
                <c:ptCount val="2"/>
                <c:pt idx="0">
                  <c:v>619.937585121854</c:v>
                </c:pt>
                <c:pt idx="1">
                  <c:v>19380.062414878146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Commute</a:t>
            </a:r>
            <a:r>
              <a:rPr lang="en-US" baseline="0"/>
              <a:t> for House 2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Charts!$D$10:$E$10</c:f>
              <c:strCache>
                <c:ptCount val="2"/>
                <c:pt idx="0">
                  <c:v>Total Commute for House 2</c:v>
                </c:pt>
                <c:pt idx="1">
                  <c:v>Rest of the day</c:v>
                </c:pt>
              </c:strCache>
            </c:strRef>
          </c:cat>
          <c:val>
            <c:numRef>
              <c:f>Charts!$D$11:$E$11</c:f>
              <c:numCache>
                <c:formatCode>General</c:formatCode>
                <c:ptCount val="2"/>
                <c:pt idx="0">
                  <c:v>107</c:v>
                </c:pt>
                <c:pt idx="1">
                  <c:v>1333</c:v>
                </c:pt>
              </c:numCache>
            </c:numRef>
          </c:val>
        </c:ser>
        <c:dLbls>
          <c:dLblPos val="bestFit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Commute for House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5689610673665789"/>
          <c:y val="0.15782407407407409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Charts!$D$13:$E$13</c:f>
              <c:strCache>
                <c:ptCount val="2"/>
                <c:pt idx="0">
                  <c:v>Total Commute for House 3</c:v>
                </c:pt>
                <c:pt idx="1">
                  <c:v>Rest of the day</c:v>
                </c:pt>
              </c:strCache>
            </c:strRef>
          </c:cat>
          <c:val>
            <c:numRef>
              <c:f>Charts!$D$14:$E$14</c:f>
              <c:numCache>
                <c:formatCode>General</c:formatCode>
                <c:ptCount val="2"/>
                <c:pt idx="0">
                  <c:v>33</c:v>
                </c:pt>
                <c:pt idx="1">
                  <c:v>1407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Commute</a:t>
            </a:r>
            <a:r>
              <a:rPr lang="en-US" baseline="0"/>
              <a:t> for house 4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Charts!$D$16:$E$16</c:f>
              <c:strCache>
                <c:ptCount val="2"/>
                <c:pt idx="0">
                  <c:v>Total Commute for House 4</c:v>
                </c:pt>
                <c:pt idx="1">
                  <c:v>Rest of the day</c:v>
                </c:pt>
              </c:strCache>
            </c:strRef>
          </c:cat>
          <c:val>
            <c:numRef>
              <c:f>Charts!$D$17:$E$17</c:f>
              <c:numCache>
                <c:formatCode>General</c:formatCode>
                <c:ptCount val="2"/>
                <c:pt idx="0">
                  <c:v>36</c:v>
                </c:pt>
                <c:pt idx="1">
                  <c:v>1404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Commute for </a:t>
            </a:r>
          </a:p>
          <a:p>
            <a:pPr>
              <a:defRPr/>
            </a:pPr>
            <a:r>
              <a:rPr lang="en-US" baseline="0"/>
              <a:t>House 5</a:t>
            </a:r>
            <a:endParaRPr lang="en-US"/>
          </a:p>
        </c:rich>
      </c:tx>
      <c:layout>
        <c:manualLayout>
          <c:xMode val="edge"/>
          <c:yMode val="edge"/>
          <c:x val="0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2911832895888016"/>
          <c:y val="0.17171296296296298"/>
          <c:w val="0.40287467191601051"/>
          <c:h val="0.6714577865266842"/>
        </c:manualLayout>
      </c:layout>
      <c:pie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Charts!$D$19:$E$19</c:f>
              <c:strCache>
                <c:ptCount val="2"/>
                <c:pt idx="0">
                  <c:v>Total Commute for House 5</c:v>
                </c:pt>
                <c:pt idx="1">
                  <c:v>Rest of the day</c:v>
                </c:pt>
              </c:strCache>
            </c:strRef>
          </c:cat>
          <c:val>
            <c:numRef>
              <c:f>Charts!$D$20:$E$20</c:f>
              <c:numCache>
                <c:formatCode>General</c:formatCode>
                <c:ptCount val="2"/>
                <c:pt idx="0">
                  <c:v>31</c:v>
                </c:pt>
                <c:pt idx="1">
                  <c:v>1409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Commute for House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Charts!$A$3:$B$3</c:f>
              <c:strCache>
                <c:ptCount val="2"/>
                <c:pt idx="0">
                  <c:v>Commute for House 1</c:v>
                </c:pt>
                <c:pt idx="1">
                  <c:v>Rest of the day</c:v>
                </c:pt>
              </c:strCache>
            </c:strRef>
          </c:cat>
          <c:val>
            <c:numRef>
              <c:f>Charts!$A$4:$B$4</c:f>
              <c:numCache>
                <c:formatCode>General</c:formatCode>
                <c:ptCount val="2"/>
                <c:pt idx="0">
                  <c:v>7</c:v>
                </c:pt>
                <c:pt idx="1">
                  <c:v>1433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Price of House 3 compared to rest of loan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Charts!$A$18:$B$18</c:f>
              <c:strCache>
                <c:ptCount val="2"/>
                <c:pt idx="0">
                  <c:v>Payment for House 3, 15 Year Loan</c:v>
                </c:pt>
                <c:pt idx="1">
                  <c:v>Rest of Loan</c:v>
                </c:pt>
              </c:strCache>
            </c:strRef>
          </c:cat>
          <c:val>
            <c:numRef>
              <c:f>Charts!$A$19:$B$19</c:f>
              <c:numCache>
                <c:formatCode>"$"#,##0.00</c:formatCode>
                <c:ptCount val="2"/>
                <c:pt idx="0">
                  <c:v>2644.4694735357593</c:v>
                </c:pt>
                <c:pt idx="1">
                  <c:v>167355.53052646425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Payment for House 4 compared to rest of Loan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Charts!$A$23:$B$23</c:f>
              <c:strCache>
                <c:ptCount val="2"/>
                <c:pt idx="0">
                  <c:v>Payment for House 4 ,15 Year Loan</c:v>
                </c:pt>
                <c:pt idx="1">
                  <c:v>Rest of Loan</c:v>
                </c:pt>
              </c:strCache>
            </c:strRef>
          </c:cat>
          <c:val>
            <c:numRef>
              <c:f>Charts!$A$24:$B$24</c:f>
              <c:numCache>
                <c:formatCode>General</c:formatCode>
                <c:ptCount val="2"/>
                <c:pt idx="0">
                  <c:v>889.87517024370811</c:v>
                </c:pt>
                <c:pt idx="1">
                  <c:v>39110.124829756292</c:v>
                </c:pt>
              </c:numCache>
            </c:numRef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933450</xdr:colOff>
      <xdr:row>14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3</xdr:col>
      <xdr:colOff>1095375</xdr:colOff>
      <xdr:row>29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59</xdr:row>
      <xdr:rowOff>114300</xdr:rowOff>
    </xdr:from>
    <xdr:to>
      <xdr:col>3</xdr:col>
      <xdr:colOff>1095375</xdr:colOff>
      <xdr:row>74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1123950</xdr:colOff>
      <xdr:row>15</xdr:row>
      <xdr:rowOff>0</xdr:rowOff>
    </xdr:from>
    <xdr:to>
      <xdr:col>7</xdr:col>
      <xdr:colOff>133350</xdr:colOff>
      <xdr:row>29</xdr:row>
      <xdr:rowOff>76200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1476375</xdr:colOff>
      <xdr:row>29</xdr:row>
      <xdr:rowOff>152400</xdr:rowOff>
    </xdr:from>
    <xdr:to>
      <xdr:col>7</xdr:col>
      <xdr:colOff>485775</xdr:colOff>
      <xdr:row>44</xdr:row>
      <xdr:rowOff>38100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57150</xdr:colOff>
      <xdr:row>44</xdr:row>
      <xdr:rowOff>0</xdr:rowOff>
    </xdr:from>
    <xdr:to>
      <xdr:col>7</xdr:col>
      <xdr:colOff>457200</xdr:colOff>
      <xdr:row>58</xdr:row>
      <xdr:rowOff>76200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123825</xdr:colOff>
      <xdr:row>59</xdr:row>
      <xdr:rowOff>123825</xdr:rowOff>
    </xdr:from>
    <xdr:to>
      <xdr:col>7</xdr:col>
      <xdr:colOff>523875</xdr:colOff>
      <xdr:row>74</xdr:row>
      <xdr:rowOff>9525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990600</xdr:colOff>
      <xdr:row>0</xdr:row>
      <xdr:rowOff>0</xdr:rowOff>
    </xdr:from>
    <xdr:to>
      <xdr:col>7</xdr:col>
      <xdr:colOff>0</xdr:colOff>
      <xdr:row>14</xdr:row>
      <xdr:rowOff>76200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9525</xdr:colOff>
      <xdr:row>29</xdr:row>
      <xdr:rowOff>114300</xdr:rowOff>
    </xdr:from>
    <xdr:to>
      <xdr:col>3</xdr:col>
      <xdr:colOff>1104900</xdr:colOff>
      <xdr:row>44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9525</xdr:colOff>
      <xdr:row>45</xdr:row>
      <xdr:rowOff>0</xdr:rowOff>
    </xdr:from>
    <xdr:to>
      <xdr:col>3</xdr:col>
      <xdr:colOff>1104900</xdr:colOff>
      <xdr:row>59</xdr:row>
      <xdr:rowOff>76200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20" name="TextBox 19"/>
        <xdr:cNvSpPr txBox="1"/>
      </xdr:nvSpPr>
      <xdr:spPr>
        <a:xfrm>
          <a:off x="9353550" y="381000"/>
          <a:ext cx="2038350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All</a:t>
          </a:r>
          <a:r>
            <a:rPr lang="en-US" sz="1100" baseline="0"/>
            <a:t> Commute charts are based on the assumption that it takes 1 minute to go one mile.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26"/>
  <sheetViews>
    <sheetView tabSelected="1" topLeftCell="F6" workbookViewId="0">
      <selection activeCell="H2" sqref="H2"/>
    </sheetView>
  </sheetViews>
  <sheetFormatPr defaultRowHeight="15" x14ac:dyDescent="0.25"/>
  <cols>
    <col min="1" max="1" width="31.85546875" style="1" bestFit="1" customWidth="1"/>
    <col min="2" max="2" width="13.42578125" bestFit="1" customWidth="1"/>
    <col min="3" max="3" width="33.42578125" bestFit="1" customWidth="1"/>
    <col min="5" max="5" width="34.7109375" bestFit="1" customWidth="1"/>
    <col min="6" max="6" width="16.42578125" bestFit="1" customWidth="1"/>
    <col min="7" max="7" width="33" bestFit="1" customWidth="1"/>
    <col min="8" max="8" width="27.140625" style="1" customWidth="1"/>
    <col min="9" max="9" width="24.7109375" bestFit="1" customWidth="1"/>
    <col min="11" max="11" width="21.140625" bestFit="1" customWidth="1"/>
    <col min="14" max="14" width="36.85546875" bestFit="1" customWidth="1"/>
  </cols>
  <sheetData>
    <row r="1" spans="1:16" x14ac:dyDescent="0.25">
      <c r="A1" s="5" t="s">
        <v>58</v>
      </c>
      <c r="B1" s="6"/>
      <c r="C1" s="6" t="s">
        <v>75</v>
      </c>
      <c r="D1" s="6"/>
      <c r="E1" s="6" t="s">
        <v>77</v>
      </c>
      <c r="F1" s="6" t="s">
        <v>78</v>
      </c>
      <c r="G1" s="6"/>
      <c r="H1" s="5" t="s">
        <v>148</v>
      </c>
      <c r="I1" s="6"/>
      <c r="J1" s="6"/>
      <c r="K1" s="6"/>
      <c r="L1" s="6"/>
      <c r="M1" s="6"/>
      <c r="N1" t="s">
        <v>143</v>
      </c>
      <c r="O1" t="s">
        <v>144</v>
      </c>
      <c r="P1" t="s">
        <v>145</v>
      </c>
    </row>
    <row r="2" spans="1:16" x14ac:dyDescent="0.25">
      <c r="A2" s="15">
        <v>6000</v>
      </c>
      <c r="B2" s="6"/>
      <c r="C2" s="9">
        <v>32</v>
      </c>
      <c r="D2" s="6"/>
      <c r="E2" s="9" t="s">
        <v>29</v>
      </c>
      <c r="F2" s="6">
        <f>VLOOKUP(E2,Dropdowns!G2:H5,2)</f>
        <v>6.1000000000000004E-3</v>
      </c>
      <c r="G2" s="6"/>
      <c r="H2" s="15" t="s">
        <v>135</v>
      </c>
      <c r="I2" s="6"/>
      <c r="J2" s="6"/>
      <c r="K2" s="6"/>
      <c r="L2" s="6"/>
      <c r="M2" s="6"/>
      <c r="N2" t="s">
        <v>137</v>
      </c>
      <c r="O2" t="s">
        <v>134</v>
      </c>
      <c r="P2" t="str">
        <f>IF(AND(E11&lt;C11,E13&lt;G11),"Yes",IF(OR(E11&lt;C11,E11&lt;G11),"Maybe","No"))</f>
        <v>Maybe</v>
      </c>
    </row>
    <row r="3" spans="1:16" x14ac:dyDescent="0.25">
      <c r="A3" s="5" t="s">
        <v>59</v>
      </c>
      <c r="B3" s="6"/>
      <c r="C3" s="6" t="s">
        <v>76</v>
      </c>
      <c r="D3" s="6"/>
      <c r="E3" s="6"/>
      <c r="F3" s="6"/>
      <c r="G3" s="6"/>
      <c r="H3" s="5"/>
      <c r="I3" s="6"/>
      <c r="J3" s="6"/>
      <c r="K3" s="6"/>
      <c r="L3" s="6"/>
      <c r="M3" s="6"/>
      <c r="N3" t="s">
        <v>137</v>
      </c>
      <c r="O3" t="s">
        <v>135</v>
      </c>
      <c r="P3" t="str">
        <f>IF(AND(G11&lt;C11,G11&lt;E11),"Yes",IF(OR(G11&lt;C11,G11&lt;E11),"Maybe","No"))</f>
        <v>Maybe</v>
      </c>
    </row>
    <row r="4" spans="1:16" x14ac:dyDescent="0.25">
      <c r="A4" s="15">
        <v>2000</v>
      </c>
      <c r="B4" s="6"/>
      <c r="C4" s="15">
        <v>500000</v>
      </c>
      <c r="D4" s="6"/>
      <c r="E4" s="8" t="s">
        <v>142</v>
      </c>
      <c r="F4" s="6"/>
      <c r="G4" s="7"/>
      <c r="H4" s="5"/>
      <c r="I4" s="6"/>
      <c r="J4" s="6"/>
      <c r="K4" s="6"/>
      <c r="L4" s="6"/>
      <c r="M4" s="6"/>
      <c r="N4" t="s">
        <v>137</v>
      </c>
      <c r="O4" t="s">
        <v>136</v>
      </c>
      <c r="P4" t="str">
        <f>IF(AND(C11&lt;E11,C11&lt;G11),"Yes",IF(OR(C11&lt;E11,C11&lt;G11),"Maybe","No"))</f>
        <v>No</v>
      </c>
    </row>
    <row r="5" spans="1:16" x14ac:dyDescent="0.25">
      <c r="A5" s="5" t="s">
        <v>81</v>
      </c>
      <c r="B5" s="5">
        <f>A2-A4</f>
        <v>4000</v>
      </c>
      <c r="C5" s="6"/>
      <c r="D5" s="6"/>
      <c r="E5" s="16">
        <v>0.04</v>
      </c>
      <c r="F5" s="10"/>
      <c r="G5" s="10"/>
      <c r="H5" s="11"/>
      <c r="I5" s="6"/>
      <c r="J5" s="6"/>
      <c r="K5" s="6"/>
      <c r="L5" s="6"/>
      <c r="M5" s="6"/>
      <c r="N5" t="s">
        <v>138</v>
      </c>
      <c r="O5" t="s">
        <v>134</v>
      </c>
      <c r="P5" t="str">
        <f>IF(AND(E13&lt;C13,E13&lt;G13),"Yes",IF(OR(E13&lt;C13,E13&lt;G13),"Maybe","No"))</f>
        <v>No</v>
      </c>
    </row>
    <row r="6" spans="1:16" x14ac:dyDescent="0.25">
      <c r="A6" s="5"/>
      <c r="B6" s="5"/>
      <c r="C6" s="6"/>
      <c r="D6" s="6"/>
      <c r="E6" s="8"/>
      <c r="F6" s="10"/>
      <c r="G6" s="6"/>
      <c r="H6" s="11"/>
      <c r="I6" s="6"/>
      <c r="J6" s="6"/>
      <c r="K6" s="6"/>
      <c r="L6" s="6"/>
      <c r="M6" s="6"/>
      <c r="N6" t="s">
        <v>138</v>
      </c>
      <c r="O6" t="s">
        <v>135</v>
      </c>
      <c r="P6" t="str">
        <f>IF(AND(G13&lt;C13,G13&lt;E13),"Yes",IF(OR(G13&lt;C13,G13&lt;E13),"Maybe","No"))</f>
        <v>Yes</v>
      </c>
    </row>
    <row r="7" spans="1:16" x14ac:dyDescent="0.25">
      <c r="A7" s="5"/>
      <c r="B7" s="6"/>
      <c r="C7" s="6"/>
      <c r="D7" s="6"/>
      <c r="E7" s="6"/>
      <c r="F7" s="6"/>
      <c r="G7" s="6"/>
      <c r="H7" s="5"/>
      <c r="I7" s="6"/>
      <c r="J7" s="6"/>
      <c r="K7" s="6"/>
      <c r="L7" s="6"/>
      <c r="M7" s="6"/>
      <c r="N7" t="s">
        <v>138</v>
      </c>
      <c r="O7" t="s">
        <v>136</v>
      </c>
      <c r="P7" t="str">
        <f>IF(AND(C13&lt;E13,C13&lt;G13),"Yes",IF(OR(C13&lt;E13,C13&lt;G13),"Maybe","No"))</f>
        <v>Maybe</v>
      </c>
    </row>
    <row r="8" spans="1:16" x14ac:dyDescent="0.25">
      <c r="A8" s="5" t="s">
        <v>97</v>
      </c>
      <c r="B8" s="6"/>
      <c r="C8" s="8"/>
      <c r="D8" s="6"/>
      <c r="E8" s="8"/>
      <c r="F8" s="6"/>
      <c r="G8" s="6"/>
      <c r="H8" s="11"/>
      <c r="I8" s="6"/>
      <c r="J8" s="6"/>
      <c r="K8" s="6"/>
      <c r="L8" s="6"/>
      <c r="M8" s="6"/>
      <c r="N8" t="s">
        <v>139</v>
      </c>
      <c r="O8" t="s">
        <v>134</v>
      </c>
      <c r="P8" t="str">
        <f>IF(AND(E15&lt;C15,E13&lt;G15),"Yes",IF(OR(E15&lt;C15,E15&lt;G15),"Maybe","No"))</f>
        <v>Maybe</v>
      </c>
    </row>
    <row r="9" spans="1:16" x14ac:dyDescent="0.25">
      <c r="A9" s="15">
        <v>350</v>
      </c>
      <c r="B9" s="6"/>
      <c r="C9" s="6"/>
      <c r="D9" s="6"/>
      <c r="E9" s="6"/>
      <c r="F9" s="6"/>
      <c r="G9" s="6"/>
      <c r="H9" s="5"/>
      <c r="I9" s="6"/>
      <c r="J9" s="6"/>
      <c r="K9" s="6"/>
      <c r="L9" s="6"/>
      <c r="M9" s="6"/>
      <c r="N9" t="s">
        <v>139</v>
      </c>
      <c r="O9" t="s">
        <v>135</v>
      </c>
      <c r="P9" t="str">
        <f>IF(AND(G15&lt;C15,G15&lt;E15),"Yes",IF(OR(G15&lt;C15,G15&lt;E15),"Maybe","No"))</f>
        <v>No</v>
      </c>
    </row>
    <row r="10" spans="1:16" x14ac:dyDescent="0.25">
      <c r="A10" s="5" t="s">
        <v>60</v>
      </c>
      <c r="B10" s="6"/>
      <c r="C10" s="6" t="s">
        <v>64</v>
      </c>
      <c r="D10" s="6"/>
      <c r="E10" s="6" t="s">
        <v>70</v>
      </c>
      <c r="F10" s="6"/>
      <c r="G10" s="6" t="s">
        <v>92</v>
      </c>
      <c r="H10" s="5"/>
      <c r="I10" s="6" t="s">
        <v>146</v>
      </c>
      <c r="J10" s="6"/>
      <c r="K10" s="6" t="s">
        <v>147</v>
      </c>
      <c r="L10" s="6"/>
      <c r="M10" s="6"/>
      <c r="N10" t="s">
        <v>139</v>
      </c>
      <c r="O10" t="s">
        <v>136</v>
      </c>
      <c r="P10" t="str">
        <f>IF(AND(C15&lt;E15,C15&lt;G15),"Yes",IF(OR(C15&lt;E15,C15&lt;G15),"Maybe","No"))</f>
        <v>Yes</v>
      </c>
    </row>
    <row r="11" spans="1:16" x14ac:dyDescent="0.25">
      <c r="A11" s="15">
        <v>229000</v>
      </c>
      <c r="B11" s="6"/>
      <c r="C11" s="9">
        <v>5</v>
      </c>
      <c r="D11" s="6"/>
      <c r="E11" s="9">
        <v>1</v>
      </c>
      <c r="F11" s="6"/>
      <c r="G11" s="9">
        <v>1</v>
      </c>
      <c r="H11" s="5"/>
      <c r="I11" s="8">
        <f>SUM(C11+E11+G11)</f>
        <v>7</v>
      </c>
      <c r="J11" s="6"/>
      <c r="K11" s="6" t="str">
        <f>VLOOKUP(H2,O2:P4,2)</f>
        <v>Maybe</v>
      </c>
      <c r="L11" s="11"/>
      <c r="M11" s="6"/>
      <c r="N11" t="s">
        <v>140</v>
      </c>
      <c r="O11" t="s">
        <v>134</v>
      </c>
      <c r="P11" t="str">
        <f>IF(AND(E17&lt;C17,E17&lt;G17),"Yes",IF(OR(E17&lt;C17,E17&lt;G17),"Maybe","No"))</f>
        <v>Maybe</v>
      </c>
    </row>
    <row r="12" spans="1:16" x14ac:dyDescent="0.25">
      <c r="A12" s="5" t="s">
        <v>69</v>
      </c>
      <c r="B12" s="6"/>
      <c r="C12" s="6" t="s">
        <v>65</v>
      </c>
      <c r="D12" s="6"/>
      <c r="E12" s="6" t="s">
        <v>71</v>
      </c>
      <c r="F12" s="6"/>
      <c r="G12" s="6" t="s">
        <v>93</v>
      </c>
      <c r="H12" s="5"/>
      <c r="I12" s="6"/>
      <c r="J12" s="6"/>
      <c r="K12" s="6"/>
      <c r="L12" s="6"/>
      <c r="M12" s="6"/>
      <c r="N12" t="s">
        <v>140</v>
      </c>
      <c r="O12" t="s">
        <v>135</v>
      </c>
      <c r="P12" t="str">
        <f>IF(AND(G17&lt;C17,G17&lt;E17),"Yes",IF(OR(G17&lt;C17,G17&lt;E17),"Maybe","No"))</f>
        <v>Yes</v>
      </c>
    </row>
    <row r="13" spans="1:16" x14ac:dyDescent="0.25">
      <c r="A13" s="15">
        <v>42000</v>
      </c>
      <c r="B13" s="6"/>
      <c r="C13" s="9">
        <v>5</v>
      </c>
      <c r="D13" s="6"/>
      <c r="E13" s="9">
        <v>100</v>
      </c>
      <c r="F13" s="6"/>
      <c r="G13" s="9">
        <v>2</v>
      </c>
      <c r="H13" s="5"/>
      <c r="I13" s="6">
        <f t="shared" ref="I13:I19" si="0">SUM(C13+E13+G13)</f>
        <v>107</v>
      </c>
      <c r="J13" s="6"/>
      <c r="K13" s="6" t="str">
        <f>VLOOKUP($H$2,O5:P7,2)</f>
        <v>Yes</v>
      </c>
      <c r="L13" s="6"/>
      <c r="M13" s="6"/>
      <c r="N13" t="s">
        <v>140</v>
      </c>
      <c r="O13" t="s">
        <v>136</v>
      </c>
      <c r="P13" t="str">
        <f>IF(AND(C17&lt;E17,C17&lt;G17),"Yes",IF(OR(C17&lt;E17,C17&lt;G17),"Maybe","No"))</f>
        <v>No</v>
      </c>
    </row>
    <row r="14" spans="1:16" x14ac:dyDescent="0.25">
      <c r="A14" s="5" t="s">
        <v>61</v>
      </c>
      <c r="B14" s="6"/>
      <c r="C14" s="6" t="s">
        <v>66</v>
      </c>
      <c r="D14" s="6"/>
      <c r="E14" s="6" t="s">
        <v>72</v>
      </c>
      <c r="F14" s="6"/>
      <c r="G14" s="6" t="s">
        <v>94</v>
      </c>
      <c r="H14" s="5"/>
      <c r="I14" s="6"/>
      <c r="J14" s="6"/>
      <c r="K14" s="6"/>
      <c r="L14" s="6"/>
      <c r="M14" s="6"/>
      <c r="N14" t="s">
        <v>141</v>
      </c>
      <c r="O14" t="s">
        <v>134</v>
      </c>
      <c r="P14" t="str">
        <f>IF(AND(E19&lt;C19,E19&lt;G19),"Yes",IF(OR(E19&lt;C19,E19&lt;G19),"Maybe","No"))</f>
        <v>Maybe</v>
      </c>
    </row>
    <row r="15" spans="1:16" x14ac:dyDescent="0.25">
      <c r="A15" s="15">
        <v>170000</v>
      </c>
      <c r="B15" s="6"/>
      <c r="C15" s="9">
        <v>3</v>
      </c>
      <c r="D15" s="6"/>
      <c r="E15" s="9">
        <v>13</v>
      </c>
      <c r="F15" s="6"/>
      <c r="G15" s="9">
        <v>17</v>
      </c>
      <c r="H15" s="5"/>
      <c r="I15" s="6">
        <f t="shared" si="0"/>
        <v>33</v>
      </c>
      <c r="J15" s="6"/>
      <c r="K15" s="6" t="str">
        <f>VLOOKUP($H$2,O8:P10,2)</f>
        <v>No</v>
      </c>
      <c r="L15" s="6"/>
      <c r="M15" s="6"/>
      <c r="N15" t="s">
        <v>141</v>
      </c>
      <c r="O15" t="s">
        <v>135</v>
      </c>
      <c r="P15" t="str">
        <f>IF(AND(G19&lt;C19,G19&lt;E19),"Yes",IF(OR(G19&lt;C19,G19&lt;E19),"Maybe","No"))</f>
        <v>No</v>
      </c>
    </row>
    <row r="16" spans="1:16" x14ac:dyDescent="0.25">
      <c r="A16" s="5" t="s">
        <v>62</v>
      </c>
      <c r="B16" s="6"/>
      <c r="C16" s="6" t="s">
        <v>67</v>
      </c>
      <c r="D16" s="6"/>
      <c r="E16" s="6" t="s">
        <v>73</v>
      </c>
      <c r="F16" s="6"/>
      <c r="G16" s="6" t="s">
        <v>95</v>
      </c>
      <c r="H16" s="5"/>
      <c r="I16" s="6"/>
      <c r="J16" s="6"/>
      <c r="K16" s="6"/>
      <c r="L16" s="6"/>
      <c r="M16" s="6"/>
      <c r="N16" t="s">
        <v>141</v>
      </c>
      <c r="O16" t="s">
        <v>136</v>
      </c>
      <c r="P16" t="str">
        <f>IF(AND(C19&lt;E19,C19&lt;G19),"Yes",IF(OR(C19&lt;E19,C19&lt;G19),"Maybe","No"))</f>
        <v>Yes</v>
      </c>
    </row>
    <row r="17" spans="1:13" x14ac:dyDescent="0.25">
      <c r="A17" s="15">
        <v>40000</v>
      </c>
      <c r="B17" s="6"/>
      <c r="C17" s="9">
        <v>29</v>
      </c>
      <c r="D17" s="6"/>
      <c r="E17" s="9">
        <v>4</v>
      </c>
      <c r="F17" s="6"/>
      <c r="G17" s="9">
        <v>3</v>
      </c>
      <c r="H17" s="5"/>
      <c r="I17" s="6">
        <f t="shared" si="0"/>
        <v>36</v>
      </c>
      <c r="J17" s="6"/>
      <c r="K17" s="6" t="str">
        <f>VLOOKUP($H$2,O11:P13,2)</f>
        <v>Yes</v>
      </c>
      <c r="L17" s="6"/>
      <c r="M17" s="6"/>
    </row>
    <row r="18" spans="1:13" x14ac:dyDescent="0.25">
      <c r="A18" s="5" t="s">
        <v>63</v>
      </c>
      <c r="B18" s="6"/>
      <c r="C18" s="6" t="s">
        <v>68</v>
      </c>
      <c r="D18" s="6"/>
      <c r="E18" s="6" t="s">
        <v>74</v>
      </c>
      <c r="F18" s="6"/>
      <c r="G18" s="6" t="s">
        <v>96</v>
      </c>
      <c r="H18" s="5"/>
      <c r="I18" s="6"/>
      <c r="J18" s="6"/>
      <c r="K18" s="6"/>
      <c r="L18" s="6"/>
      <c r="M18" s="6"/>
    </row>
    <row r="19" spans="1:13" x14ac:dyDescent="0.25">
      <c r="A19" s="15">
        <v>20000</v>
      </c>
      <c r="B19" s="6"/>
      <c r="C19" s="9">
        <v>7</v>
      </c>
      <c r="D19" s="6"/>
      <c r="E19" s="9">
        <v>8</v>
      </c>
      <c r="F19" s="6"/>
      <c r="G19" s="9">
        <v>16</v>
      </c>
      <c r="H19" s="5"/>
      <c r="I19" s="6">
        <f t="shared" si="0"/>
        <v>31</v>
      </c>
      <c r="J19" s="6"/>
      <c r="K19" s="6" t="str">
        <f>VLOOKUP($H$2,O14:P16,2)</f>
        <v>No</v>
      </c>
      <c r="L19" s="6"/>
      <c r="M19" s="6"/>
    </row>
    <row r="20" spans="1:13" x14ac:dyDescent="0.25">
      <c r="A20" s="5"/>
      <c r="B20" s="6"/>
      <c r="C20" s="6"/>
      <c r="D20" s="6"/>
      <c r="E20" s="6"/>
      <c r="F20" s="6"/>
      <c r="G20" s="6"/>
      <c r="H20" s="5"/>
      <c r="I20" s="6"/>
      <c r="J20" s="6"/>
      <c r="K20" s="6"/>
      <c r="L20" s="6"/>
      <c r="M20" s="6"/>
    </row>
    <row r="21" spans="1:13" x14ac:dyDescent="0.25">
      <c r="A21" s="5" t="s">
        <v>54</v>
      </c>
      <c r="B21" s="6" t="s">
        <v>79</v>
      </c>
      <c r="C21" s="6" t="s">
        <v>80</v>
      </c>
      <c r="D21" s="6"/>
      <c r="E21" s="6" t="s">
        <v>91</v>
      </c>
      <c r="F21" s="6"/>
      <c r="G21" s="6" t="s">
        <v>108</v>
      </c>
      <c r="H21" s="5" t="s">
        <v>84</v>
      </c>
      <c r="I21" s="6" t="s">
        <v>85</v>
      </c>
      <c r="J21" s="6"/>
      <c r="K21" s="6" t="s">
        <v>109</v>
      </c>
      <c r="L21" s="6" t="s">
        <v>84</v>
      </c>
      <c r="M21" s="6" t="s">
        <v>85</v>
      </c>
    </row>
    <row r="22" spans="1:13" x14ac:dyDescent="0.25">
      <c r="A22" s="5" t="s">
        <v>86</v>
      </c>
      <c r="B22" s="6" t="str">
        <f>IF(A11&lt;=$C$4,"Yes","No")</f>
        <v>Yes</v>
      </c>
      <c r="C22" s="6" t="str">
        <f>IF($C$2&gt;I11,"Yes","No")</f>
        <v>Yes</v>
      </c>
      <c r="D22" s="6"/>
      <c r="E22" s="6" t="b">
        <f>AND(B22="yes",C22="YES")</f>
        <v>1</v>
      </c>
      <c r="F22" s="6"/>
      <c r="G22" s="6">
        <v>1</v>
      </c>
      <c r="H22" s="5">
        <f>CALCULATOR!E6+(Results!A9/12)+(Results!F2*Results!A11)</f>
        <v>3119.9520163118955</v>
      </c>
      <c r="I22" s="5">
        <f>CALCULATOR!B6+(Results!$F$2*Results!A11)+Results!$A$9</f>
        <v>2840.1810266159023</v>
      </c>
      <c r="J22" s="6"/>
      <c r="K22" s="6"/>
      <c r="L22" s="6" t="str">
        <f>IF(H22&lt;$B$5,"Yes","No")</f>
        <v>Yes</v>
      </c>
      <c r="M22" s="6" t="str">
        <f>IF(I22&lt;$B$5,"Yes","No")</f>
        <v>Yes</v>
      </c>
    </row>
    <row r="23" spans="1:13" x14ac:dyDescent="0.25">
      <c r="A23" s="5" t="s">
        <v>87</v>
      </c>
      <c r="B23" s="6" t="str">
        <f>IF(A13&lt;=$C$4,"Yes","No")</f>
        <v>Yes</v>
      </c>
      <c r="C23" s="6" t="str">
        <f>IF($C$2&gt;I13,"Yes","No")</f>
        <v>No</v>
      </c>
      <c r="D23" s="6"/>
      <c r="E23" s="6" t="b">
        <f t="shared" ref="E23:E26" si="1">AND(B23="yes",C23="YES")</f>
        <v>0</v>
      </c>
      <c r="F23" s="6"/>
      <c r="G23" s="6">
        <v>2</v>
      </c>
      <c r="H23" s="5">
        <f>CALCULATOR!H6+(Results!$F$2*Results!A13)+Results!$A$9</f>
        <v>916.86892875589342</v>
      </c>
      <c r="I23" s="5">
        <f>CALCULATOR!B13+(Results!$F$2*Results!A13)+Results!$A$9</f>
        <v>806.71442409549297</v>
      </c>
      <c r="J23" s="6"/>
      <c r="K23" s="6"/>
      <c r="L23" s="6" t="str">
        <f>IF(H23&lt;$B$5,"Yes","No")</f>
        <v>Yes</v>
      </c>
      <c r="M23" s="6" t="str">
        <f t="shared" ref="M23:M26" si="2">IF(I23&lt;$B$5,"Yes","No")</f>
        <v>Yes</v>
      </c>
    </row>
    <row r="24" spans="1:13" x14ac:dyDescent="0.25">
      <c r="A24" s="5" t="s">
        <v>88</v>
      </c>
      <c r="B24" s="6" t="str">
        <f>IF(A15&lt;=$C$4,"Yes","No")</f>
        <v>Yes</v>
      </c>
      <c r="C24" s="6" t="str">
        <f>IF($C$2&gt;I15,"Yes","No")</f>
        <v>No</v>
      </c>
      <c r="D24" s="6"/>
      <c r="E24" s="6" t="b">
        <f t="shared" si="1"/>
        <v>0</v>
      </c>
      <c r="F24" s="6"/>
      <c r="G24" s="6">
        <v>3</v>
      </c>
      <c r="H24" s="5">
        <f>CALCULATOR!K6+(Results!$F$2*Results!A15)+Results!$A$9</f>
        <v>2644.4694735357593</v>
      </c>
      <c r="I24" s="5">
        <f>CALCULATOR!B20+(Results!$F$2*Results!A15)+Results!$A$9</f>
        <v>2198.6060022912811</v>
      </c>
      <c r="J24" s="6"/>
      <c r="K24" s="6"/>
      <c r="L24" s="6" t="str">
        <f t="shared" ref="L24:L26" si="3">IF(H24&lt;$B$5,"Yes","No")</f>
        <v>Yes</v>
      </c>
      <c r="M24" s="6" t="str">
        <f t="shared" si="2"/>
        <v>Yes</v>
      </c>
    </row>
    <row r="25" spans="1:13" x14ac:dyDescent="0.25">
      <c r="A25" s="5" t="s">
        <v>89</v>
      </c>
      <c r="B25" s="6" t="str">
        <f>IF(A17&lt;=$C$4,"Yes","No")</f>
        <v>Yes</v>
      </c>
      <c r="C25" s="6" t="str">
        <f>IF($C$2&gt;I17,"Yes","No")</f>
        <v>No</v>
      </c>
      <c r="D25" s="6"/>
      <c r="E25" s="6" t="b">
        <f t="shared" si="1"/>
        <v>0</v>
      </c>
      <c r="F25" s="6"/>
      <c r="G25" s="6">
        <v>4</v>
      </c>
      <c r="H25" s="5">
        <f>CALCULATOR!N6+(Results!$F$2*Results!A17)+Results!$A$9</f>
        <v>889.87517024370811</v>
      </c>
      <c r="I25" s="5">
        <f>CALCULATOR!B27+(Results!$F$2*Results!A17)+Results!$A$9</f>
        <v>784.96611818618385</v>
      </c>
      <c r="J25" s="6"/>
      <c r="K25" s="6"/>
      <c r="L25" s="6" t="str">
        <f t="shared" si="3"/>
        <v>Yes</v>
      </c>
      <c r="M25" s="6" t="str">
        <f t="shared" si="2"/>
        <v>Yes</v>
      </c>
    </row>
    <row r="26" spans="1:13" x14ac:dyDescent="0.25">
      <c r="A26" s="5" t="s">
        <v>90</v>
      </c>
      <c r="B26" s="6" t="str">
        <f>IF(A19&lt;=$C$4,"Yes","No")</f>
        <v>Yes</v>
      </c>
      <c r="C26" s="6" t="str">
        <f>IF($C$2&gt;I19,"Yes","No")</f>
        <v>Yes</v>
      </c>
      <c r="D26" s="6"/>
      <c r="E26" s="6" t="b">
        <f t="shared" si="1"/>
        <v>1</v>
      </c>
      <c r="F26" s="6"/>
      <c r="G26" s="6">
        <v>5</v>
      </c>
      <c r="H26" s="5">
        <f>CALCULATOR!Q6+(Results!$F$2*Results!A19)+Results!$A$9</f>
        <v>619.937585121854</v>
      </c>
      <c r="I26" s="5">
        <f>CALCULATOR!B34+(Results!$F$2*Results!A19)+Results!$A$9</f>
        <v>567.48305909309192</v>
      </c>
      <c r="J26" s="6"/>
      <c r="K26" s="6"/>
      <c r="L26" s="6" t="str">
        <f t="shared" si="3"/>
        <v>Yes</v>
      </c>
      <c r="M26" s="6" t="str">
        <f t="shared" si="2"/>
        <v>Yes</v>
      </c>
    </row>
  </sheetData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11" r:id="rId5" name="Button 27">
              <controlPr defaultSize="0" print="0" autoFill="0" autoPict="0" macro="[0]!Charts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Dropdowns!$G$2:$G$5</xm:f>
          </x14:formula1>
          <xm:sqref>E2</xm:sqref>
        </x14:dataValidation>
        <x14:dataValidation type="list" allowBlank="1" showInputMessage="1" showErrorMessage="1">
          <x14:formula1>
            <xm:f>Dropdowns!$O$2:$O$4</xm:f>
          </x14:formula1>
          <xm:sqref>H2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4"/>
  <sheetViews>
    <sheetView workbookViewId="0">
      <selection activeCell="D15" sqref="D15"/>
    </sheetView>
  </sheetViews>
  <sheetFormatPr defaultRowHeight="15" x14ac:dyDescent="0.25"/>
  <cols>
    <col min="1" max="1" width="14.85546875" bestFit="1" customWidth="1"/>
    <col min="2" max="2" width="12.5703125" bestFit="1" customWidth="1"/>
    <col min="4" max="4" width="14.85546875" bestFit="1" customWidth="1"/>
    <col min="5" max="5" width="11.5703125" bestFit="1" customWidth="1"/>
    <col min="7" max="7" width="14.85546875" bestFit="1" customWidth="1"/>
    <col min="8" max="8" width="11.5703125" bestFit="1" customWidth="1"/>
    <col min="10" max="10" width="14.85546875" bestFit="1" customWidth="1"/>
    <col min="11" max="11" width="11.5703125" bestFit="1" customWidth="1"/>
    <col min="13" max="13" width="14.85546875" bestFit="1" customWidth="1"/>
    <col min="14" max="14" width="11.5703125" bestFit="1" customWidth="1"/>
    <col min="16" max="16" width="14.85546875" bestFit="1" customWidth="1"/>
    <col min="17" max="17" width="11.5703125" bestFit="1" customWidth="1"/>
  </cols>
  <sheetData>
    <row r="1" spans="1:17" x14ac:dyDescent="0.25">
      <c r="A1" t="s">
        <v>98</v>
      </c>
      <c r="D1" t="s">
        <v>99</v>
      </c>
      <c r="G1" t="s">
        <v>104</v>
      </c>
      <c r="J1" t="s">
        <v>105</v>
      </c>
      <c r="M1" t="s">
        <v>106</v>
      </c>
      <c r="P1" t="s">
        <v>107</v>
      </c>
    </row>
    <row r="2" spans="1:17" x14ac:dyDescent="0.25">
      <c r="A2" t="s">
        <v>55</v>
      </c>
      <c r="B2" s="3">
        <f>Results!E5</f>
        <v>0.04</v>
      </c>
      <c r="D2" t="s">
        <v>55</v>
      </c>
      <c r="E2" s="3">
        <f>B2</f>
        <v>0.04</v>
      </c>
      <c r="G2" t="s">
        <v>55</v>
      </c>
      <c r="H2" s="3">
        <f>E2</f>
        <v>0.04</v>
      </c>
      <c r="J2" t="s">
        <v>55</v>
      </c>
      <c r="K2" s="3">
        <f>H2</f>
        <v>0.04</v>
      </c>
      <c r="M2" t="s">
        <v>55</v>
      </c>
      <c r="N2" s="3">
        <f>K2</f>
        <v>0.04</v>
      </c>
      <c r="P2" t="s">
        <v>55</v>
      </c>
      <c r="Q2" s="3">
        <f>N2</f>
        <v>0.04</v>
      </c>
    </row>
    <row r="3" spans="1:17" x14ac:dyDescent="0.25">
      <c r="A3" t="s">
        <v>22</v>
      </c>
      <c r="B3">
        <v>360</v>
      </c>
      <c r="D3" t="s">
        <v>22</v>
      </c>
      <c r="E3">
        <v>180</v>
      </c>
      <c r="G3" t="s">
        <v>22</v>
      </c>
      <c r="H3">
        <v>180</v>
      </c>
      <c r="J3" t="s">
        <v>22</v>
      </c>
      <c r="K3">
        <v>180</v>
      </c>
      <c r="M3" t="s">
        <v>22</v>
      </c>
      <c r="N3">
        <v>180</v>
      </c>
      <c r="P3" t="s">
        <v>22</v>
      </c>
      <c r="Q3">
        <v>180</v>
      </c>
    </row>
    <row r="4" spans="1:17" x14ac:dyDescent="0.25">
      <c r="A4" t="s">
        <v>56</v>
      </c>
      <c r="B4">
        <f>Results!A11</f>
        <v>229000</v>
      </c>
      <c r="D4" t="s">
        <v>56</v>
      </c>
      <c r="E4">
        <f>B4</f>
        <v>229000</v>
      </c>
      <c r="G4" t="s">
        <v>56</v>
      </c>
      <c r="H4">
        <f>B11</f>
        <v>42000</v>
      </c>
      <c r="J4" t="s">
        <v>56</v>
      </c>
      <c r="K4">
        <f>B18</f>
        <v>170000</v>
      </c>
      <c r="M4" t="s">
        <v>56</v>
      </c>
      <c r="N4">
        <f>B25</f>
        <v>40000</v>
      </c>
      <c r="P4" t="s">
        <v>56</v>
      </c>
      <c r="Q4">
        <f>B32</f>
        <v>20000</v>
      </c>
    </row>
    <row r="5" spans="1:17" x14ac:dyDescent="0.25">
      <c r="A5" t="s">
        <v>57</v>
      </c>
      <c r="B5">
        <v>0</v>
      </c>
      <c r="D5" t="s">
        <v>82</v>
      </c>
      <c r="E5">
        <v>0</v>
      </c>
      <c r="G5" t="s">
        <v>82</v>
      </c>
      <c r="H5">
        <v>0</v>
      </c>
      <c r="J5" t="s">
        <v>82</v>
      </c>
      <c r="K5">
        <v>0</v>
      </c>
      <c r="M5" t="s">
        <v>82</v>
      </c>
      <c r="N5">
        <v>0</v>
      </c>
      <c r="P5" t="s">
        <v>82</v>
      </c>
      <c r="Q5">
        <v>0</v>
      </c>
    </row>
    <row r="6" spans="1:17" x14ac:dyDescent="0.25">
      <c r="A6" t="s">
        <v>23</v>
      </c>
      <c r="B6" s="4">
        <f>PMT(B2/12,B3,-B4)</f>
        <v>1093.2810266159022</v>
      </c>
      <c r="D6" t="s">
        <v>23</v>
      </c>
      <c r="E6" s="4">
        <f>PMT(E2/12,E3,-E4)</f>
        <v>1693.8853496452286</v>
      </c>
      <c r="G6" t="s">
        <v>23</v>
      </c>
      <c r="H6" s="4">
        <f>PMT(H2/12,H3,-H4)</f>
        <v>310.66892875589343</v>
      </c>
      <c r="J6" t="s">
        <v>23</v>
      </c>
      <c r="K6" s="4">
        <f>PMT(K2/12,K3,-K4)</f>
        <v>1257.4694735357593</v>
      </c>
      <c r="M6" t="s">
        <v>23</v>
      </c>
      <c r="N6" s="4">
        <f>PMT(N2/12,N3,-N4)</f>
        <v>295.87517024370806</v>
      </c>
      <c r="P6" t="s">
        <v>23</v>
      </c>
      <c r="Q6" s="4">
        <f>PMT(Q2/12,Q3,-Q4)</f>
        <v>147.93758512185403</v>
      </c>
    </row>
    <row r="8" spans="1:17" x14ac:dyDescent="0.25">
      <c r="A8" t="s">
        <v>100</v>
      </c>
    </row>
    <row r="9" spans="1:17" x14ac:dyDescent="0.25">
      <c r="A9" t="s">
        <v>55</v>
      </c>
      <c r="B9" s="3">
        <f>B2</f>
        <v>0.04</v>
      </c>
    </row>
    <row r="10" spans="1:17" x14ac:dyDescent="0.25">
      <c r="A10" t="s">
        <v>22</v>
      </c>
      <c r="B10">
        <v>360</v>
      </c>
    </row>
    <row r="11" spans="1:17" x14ac:dyDescent="0.25">
      <c r="A11" t="s">
        <v>56</v>
      </c>
      <c r="B11">
        <f>Results!A13</f>
        <v>42000</v>
      </c>
    </row>
    <row r="12" spans="1:17" x14ac:dyDescent="0.25">
      <c r="A12" t="s">
        <v>57</v>
      </c>
      <c r="B12">
        <v>0</v>
      </c>
    </row>
    <row r="13" spans="1:17" x14ac:dyDescent="0.25">
      <c r="A13" t="s">
        <v>23</v>
      </c>
      <c r="B13" s="4">
        <f>PMT(B9/12,B10,-B11)</f>
        <v>200.51442409549298</v>
      </c>
    </row>
    <row r="15" spans="1:17" x14ac:dyDescent="0.25">
      <c r="A15" t="s">
        <v>101</v>
      </c>
    </row>
    <row r="16" spans="1:17" x14ac:dyDescent="0.25">
      <c r="A16" t="s">
        <v>55</v>
      </c>
      <c r="B16" s="3">
        <f>B9</f>
        <v>0.04</v>
      </c>
    </row>
    <row r="17" spans="1:2" x14ac:dyDescent="0.25">
      <c r="A17" t="s">
        <v>22</v>
      </c>
      <c r="B17">
        <v>360</v>
      </c>
    </row>
    <row r="18" spans="1:2" x14ac:dyDescent="0.25">
      <c r="A18" t="s">
        <v>56</v>
      </c>
      <c r="B18">
        <f>Results!A15</f>
        <v>170000</v>
      </c>
    </row>
    <row r="19" spans="1:2" x14ac:dyDescent="0.25">
      <c r="A19" t="s">
        <v>57</v>
      </c>
      <c r="B19">
        <v>0</v>
      </c>
    </row>
    <row r="20" spans="1:2" x14ac:dyDescent="0.25">
      <c r="A20" t="s">
        <v>23</v>
      </c>
      <c r="B20" s="4">
        <f>PMT(B16/12,B17,-B18)</f>
        <v>811.60600229128113</v>
      </c>
    </row>
    <row r="22" spans="1:2" x14ac:dyDescent="0.25">
      <c r="A22" t="s">
        <v>102</v>
      </c>
    </row>
    <row r="23" spans="1:2" x14ac:dyDescent="0.25">
      <c r="A23" t="s">
        <v>55</v>
      </c>
      <c r="B23" s="3">
        <f>B16</f>
        <v>0.04</v>
      </c>
    </row>
    <row r="24" spans="1:2" x14ac:dyDescent="0.25">
      <c r="A24" t="s">
        <v>22</v>
      </c>
      <c r="B24">
        <v>360</v>
      </c>
    </row>
    <row r="25" spans="1:2" x14ac:dyDescent="0.25">
      <c r="A25" t="s">
        <v>56</v>
      </c>
      <c r="B25">
        <f>Results!A17</f>
        <v>40000</v>
      </c>
    </row>
    <row r="26" spans="1:2" x14ac:dyDescent="0.25">
      <c r="A26" t="s">
        <v>57</v>
      </c>
      <c r="B26">
        <v>0</v>
      </c>
    </row>
    <row r="27" spans="1:2" x14ac:dyDescent="0.25">
      <c r="A27" t="s">
        <v>23</v>
      </c>
      <c r="B27" s="4">
        <f>PMT(B23/12,B24,-B25)</f>
        <v>190.96611818618379</v>
      </c>
    </row>
    <row r="29" spans="1:2" x14ac:dyDescent="0.25">
      <c r="A29" t="s">
        <v>103</v>
      </c>
    </row>
    <row r="30" spans="1:2" x14ac:dyDescent="0.25">
      <c r="A30" t="s">
        <v>55</v>
      </c>
      <c r="B30" s="3">
        <f>B23</f>
        <v>0.04</v>
      </c>
    </row>
    <row r="31" spans="1:2" x14ac:dyDescent="0.25">
      <c r="A31" t="s">
        <v>22</v>
      </c>
      <c r="B31">
        <v>360</v>
      </c>
    </row>
    <row r="32" spans="1:2" x14ac:dyDescent="0.25">
      <c r="A32" t="s">
        <v>56</v>
      </c>
      <c r="B32">
        <f>Results!A19</f>
        <v>20000</v>
      </c>
    </row>
    <row r="33" spans="1:2" x14ac:dyDescent="0.25">
      <c r="A33" t="s">
        <v>57</v>
      </c>
      <c r="B33">
        <v>0</v>
      </c>
    </row>
    <row r="34" spans="1:2" x14ac:dyDescent="0.25">
      <c r="A34" t="s">
        <v>23</v>
      </c>
      <c r="B34" s="4">
        <f>PMT(B30/12,B31,-B32)</f>
        <v>95.483059093091896</v>
      </c>
    </row>
  </sheetData>
  <sheetProtection algorithmName="SHA-512" hashValue="dlXG4DwL6EvMN6WJAKxojHGjejO8OA749iK1nSJRqjX/t03985G59mRdS6RDozlvTGrdU7HhtcV+lfzkD6GC7g==" saltValue="9YvUVsbEeyh/RFXk8E4ek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18"/>
  <sheetViews>
    <sheetView workbookViewId="0">
      <selection activeCell="H2" sqref="H2"/>
    </sheetView>
  </sheetViews>
  <sheetFormatPr defaultRowHeight="15" x14ac:dyDescent="0.25"/>
  <cols>
    <col min="1" max="1" width="15.140625" customWidth="1"/>
    <col min="3" max="3" width="13" customWidth="1"/>
  </cols>
  <sheetData>
    <row r="1" spans="1:15" x14ac:dyDescent="0.25">
      <c r="A1" t="s">
        <v>0</v>
      </c>
      <c r="C1" t="s">
        <v>13</v>
      </c>
      <c r="E1" t="s">
        <v>21</v>
      </c>
      <c r="G1" t="s">
        <v>24</v>
      </c>
      <c r="H1" t="s">
        <v>25</v>
      </c>
      <c r="J1" t="s">
        <v>30</v>
      </c>
      <c r="M1" t="s">
        <v>83</v>
      </c>
      <c r="O1" t="s">
        <v>133</v>
      </c>
    </row>
    <row r="2" spans="1:15" x14ac:dyDescent="0.25">
      <c r="A2" t="s">
        <v>1</v>
      </c>
      <c r="C2" t="s">
        <v>14</v>
      </c>
      <c r="E2">
        <v>1</v>
      </c>
      <c r="G2" t="s">
        <v>27</v>
      </c>
      <c r="H2" s="2">
        <v>5.7000000000000002E-3</v>
      </c>
      <c r="J2" t="s">
        <v>31</v>
      </c>
      <c r="M2" t="s">
        <v>85</v>
      </c>
      <c r="O2" t="s">
        <v>134</v>
      </c>
    </row>
    <row r="3" spans="1:15" x14ac:dyDescent="0.25">
      <c r="A3" t="s">
        <v>2</v>
      </c>
      <c r="C3" t="s">
        <v>15</v>
      </c>
      <c r="E3">
        <v>1.25</v>
      </c>
      <c r="G3" t="s">
        <v>26</v>
      </c>
      <c r="H3" s="2">
        <v>7.4000000000000003E-3</v>
      </c>
      <c r="J3" t="s">
        <v>32</v>
      </c>
      <c r="M3" t="s">
        <v>84</v>
      </c>
      <c r="O3" t="s">
        <v>135</v>
      </c>
    </row>
    <row r="4" spans="1:15" x14ac:dyDescent="0.25">
      <c r="A4" t="s">
        <v>3</v>
      </c>
      <c r="C4" t="s">
        <v>16</v>
      </c>
      <c r="E4">
        <v>1.5</v>
      </c>
      <c r="G4" t="s">
        <v>29</v>
      </c>
      <c r="H4" s="2">
        <v>6.1000000000000004E-3</v>
      </c>
      <c r="J4" t="s">
        <v>33</v>
      </c>
      <c r="O4" t="s">
        <v>136</v>
      </c>
    </row>
    <row r="5" spans="1:15" x14ac:dyDescent="0.25">
      <c r="A5" t="s">
        <v>4</v>
      </c>
      <c r="C5" t="s">
        <v>17</v>
      </c>
      <c r="E5">
        <v>1.75</v>
      </c>
      <c r="G5" t="s">
        <v>28</v>
      </c>
      <c r="H5" s="2">
        <v>8.0999999999999996E-3</v>
      </c>
      <c r="J5" t="s">
        <v>34</v>
      </c>
    </row>
    <row r="6" spans="1:15" x14ac:dyDescent="0.25">
      <c r="A6" t="s">
        <v>5</v>
      </c>
      <c r="C6" t="s">
        <v>18</v>
      </c>
      <c r="E6">
        <v>2</v>
      </c>
      <c r="J6" t="s">
        <v>35</v>
      </c>
    </row>
    <row r="7" spans="1:15" x14ac:dyDescent="0.25">
      <c r="A7" t="s">
        <v>6</v>
      </c>
      <c r="C7" t="s">
        <v>19</v>
      </c>
      <c r="E7">
        <v>2.25</v>
      </c>
      <c r="J7" t="s">
        <v>36</v>
      </c>
    </row>
    <row r="8" spans="1:15" x14ac:dyDescent="0.25">
      <c r="A8" t="s">
        <v>7</v>
      </c>
      <c r="C8" t="s">
        <v>20</v>
      </c>
      <c r="E8">
        <v>2.5</v>
      </c>
      <c r="J8" t="s">
        <v>37</v>
      </c>
    </row>
    <row r="9" spans="1:15" x14ac:dyDescent="0.25">
      <c r="A9" t="s">
        <v>8</v>
      </c>
      <c r="E9">
        <v>2.75</v>
      </c>
      <c r="J9" t="s">
        <v>38</v>
      </c>
    </row>
    <row r="10" spans="1:15" x14ac:dyDescent="0.25">
      <c r="A10" t="s">
        <v>9</v>
      </c>
      <c r="E10">
        <v>3</v>
      </c>
      <c r="J10" t="s">
        <v>39</v>
      </c>
    </row>
    <row r="11" spans="1:15" x14ac:dyDescent="0.25">
      <c r="A11" t="s">
        <v>10</v>
      </c>
      <c r="E11">
        <v>3.25</v>
      </c>
      <c r="J11" t="s">
        <v>40</v>
      </c>
    </row>
    <row r="12" spans="1:15" x14ac:dyDescent="0.25">
      <c r="A12" t="s">
        <v>11</v>
      </c>
      <c r="E12">
        <v>3.5</v>
      </c>
      <c r="J12" t="s">
        <v>41</v>
      </c>
    </row>
    <row r="13" spans="1:15" x14ac:dyDescent="0.25">
      <c r="A13" t="s">
        <v>12</v>
      </c>
      <c r="E13">
        <v>3.75</v>
      </c>
      <c r="J13" t="s">
        <v>42</v>
      </c>
    </row>
    <row r="14" spans="1:15" x14ac:dyDescent="0.25">
      <c r="E14">
        <v>4</v>
      </c>
      <c r="J14" t="s">
        <v>43</v>
      </c>
    </row>
    <row r="15" spans="1:15" x14ac:dyDescent="0.25">
      <c r="E15">
        <v>4.25</v>
      </c>
      <c r="J15" t="s">
        <v>44</v>
      </c>
    </row>
    <row r="16" spans="1:15" x14ac:dyDescent="0.25">
      <c r="E16">
        <v>4.5</v>
      </c>
      <c r="J16" t="s">
        <v>45</v>
      </c>
    </row>
    <row r="17" spans="5:10" x14ac:dyDescent="0.25">
      <c r="E17">
        <v>4.75</v>
      </c>
      <c r="J17" t="s">
        <v>46</v>
      </c>
    </row>
    <row r="18" spans="5:10" x14ac:dyDescent="0.25">
      <c r="E18">
        <v>5</v>
      </c>
      <c r="J18" t="s">
        <v>47</v>
      </c>
    </row>
    <row r="19" spans="5:10" x14ac:dyDescent="0.25">
      <c r="E19">
        <v>5.25</v>
      </c>
      <c r="J19" t="s">
        <v>48</v>
      </c>
    </row>
    <row r="20" spans="5:10" x14ac:dyDescent="0.25">
      <c r="E20">
        <v>5.5</v>
      </c>
      <c r="J20" t="s">
        <v>49</v>
      </c>
    </row>
    <row r="21" spans="5:10" x14ac:dyDescent="0.25">
      <c r="E21">
        <v>5.75</v>
      </c>
      <c r="J21" t="s">
        <v>50</v>
      </c>
    </row>
    <row r="22" spans="5:10" x14ac:dyDescent="0.25">
      <c r="E22">
        <v>6</v>
      </c>
      <c r="J22" t="s">
        <v>51</v>
      </c>
    </row>
    <row r="23" spans="5:10" x14ac:dyDescent="0.25">
      <c r="E23">
        <v>6.25</v>
      </c>
      <c r="J23" t="s">
        <v>52</v>
      </c>
    </row>
    <row r="24" spans="5:10" x14ac:dyDescent="0.25">
      <c r="E24">
        <v>6.5</v>
      </c>
    </row>
    <row r="25" spans="5:10" x14ac:dyDescent="0.25">
      <c r="E25">
        <v>6.75</v>
      </c>
    </row>
    <row r="26" spans="5:10" x14ac:dyDescent="0.25">
      <c r="E26">
        <v>7</v>
      </c>
    </row>
    <row r="27" spans="5:10" x14ac:dyDescent="0.25">
      <c r="E27">
        <v>7.25</v>
      </c>
    </row>
    <row r="28" spans="5:10" x14ac:dyDescent="0.25">
      <c r="E28">
        <v>7.5</v>
      </c>
    </row>
    <row r="29" spans="5:10" x14ac:dyDescent="0.25">
      <c r="E29">
        <v>7.75</v>
      </c>
    </row>
    <row r="30" spans="5:10" x14ac:dyDescent="0.25">
      <c r="E30">
        <v>8</v>
      </c>
    </row>
    <row r="31" spans="5:10" x14ac:dyDescent="0.25">
      <c r="E31">
        <v>8.25</v>
      </c>
    </row>
    <row r="32" spans="5:10" x14ac:dyDescent="0.25">
      <c r="E32">
        <v>8.5</v>
      </c>
    </row>
    <row r="33" spans="5:5" x14ac:dyDescent="0.25">
      <c r="E33">
        <v>8.75</v>
      </c>
    </row>
    <row r="34" spans="5:5" x14ac:dyDescent="0.25">
      <c r="E34">
        <v>9</v>
      </c>
    </row>
    <row r="35" spans="5:5" x14ac:dyDescent="0.25">
      <c r="E35">
        <v>9.25</v>
      </c>
    </row>
    <row r="36" spans="5:5" x14ac:dyDescent="0.25">
      <c r="E36">
        <v>9.5</v>
      </c>
    </row>
    <row r="37" spans="5:5" x14ac:dyDescent="0.25">
      <c r="E37">
        <v>9.75</v>
      </c>
    </row>
    <row r="38" spans="5:5" x14ac:dyDescent="0.25">
      <c r="E38">
        <v>10</v>
      </c>
    </row>
    <row r="39" spans="5:5" x14ac:dyDescent="0.25">
      <c r="E39">
        <v>10.25</v>
      </c>
    </row>
    <row r="40" spans="5:5" x14ac:dyDescent="0.25">
      <c r="E40">
        <v>10.5</v>
      </c>
    </row>
    <row r="41" spans="5:5" x14ac:dyDescent="0.25">
      <c r="E41">
        <v>10.75</v>
      </c>
    </row>
    <row r="42" spans="5:5" x14ac:dyDescent="0.25">
      <c r="E42">
        <v>11</v>
      </c>
    </row>
    <row r="43" spans="5:5" x14ac:dyDescent="0.25">
      <c r="E43">
        <v>11.25</v>
      </c>
    </row>
    <row r="44" spans="5:5" x14ac:dyDescent="0.25">
      <c r="E44">
        <v>11.5</v>
      </c>
    </row>
    <row r="45" spans="5:5" x14ac:dyDescent="0.25">
      <c r="E45">
        <v>11.75</v>
      </c>
    </row>
    <row r="46" spans="5:5" x14ac:dyDescent="0.25">
      <c r="E46">
        <v>12</v>
      </c>
    </row>
    <row r="47" spans="5:5" x14ac:dyDescent="0.25">
      <c r="E47">
        <v>12.25</v>
      </c>
    </row>
    <row r="48" spans="5:5" x14ac:dyDescent="0.25">
      <c r="E48">
        <v>12.5</v>
      </c>
    </row>
    <row r="49" spans="5:5" x14ac:dyDescent="0.25">
      <c r="E49">
        <v>12.75</v>
      </c>
    </row>
    <row r="50" spans="5:5" x14ac:dyDescent="0.25">
      <c r="E50">
        <v>13</v>
      </c>
    </row>
    <row r="51" spans="5:5" x14ac:dyDescent="0.25">
      <c r="E51">
        <v>13.25</v>
      </c>
    </row>
    <row r="52" spans="5:5" x14ac:dyDescent="0.25">
      <c r="E52">
        <v>13.5</v>
      </c>
    </row>
    <row r="53" spans="5:5" x14ac:dyDescent="0.25">
      <c r="E53">
        <v>13.75</v>
      </c>
    </row>
    <row r="54" spans="5:5" x14ac:dyDescent="0.25">
      <c r="E54">
        <v>14</v>
      </c>
    </row>
    <row r="55" spans="5:5" x14ac:dyDescent="0.25">
      <c r="E55">
        <v>14.25</v>
      </c>
    </row>
    <row r="56" spans="5:5" x14ac:dyDescent="0.25">
      <c r="E56">
        <v>14.5</v>
      </c>
    </row>
    <row r="57" spans="5:5" x14ac:dyDescent="0.25">
      <c r="E57">
        <v>14.75</v>
      </c>
    </row>
    <row r="58" spans="5:5" x14ac:dyDescent="0.25">
      <c r="E58">
        <v>15</v>
      </c>
    </row>
    <row r="59" spans="5:5" x14ac:dyDescent="0.25">
      <c r="E59">
        <v>15.25</v>
      </c>
    </row>
    <row r="60" spans="5:5" x14ac:dyDescent="0.25">
      <c r="E60">
        <v>15.5</v>
      </c>
    </row>
    <row r="61" spans="5:5" x14ac:dyDescent="0.25">
      <c r="E61">
        <v>15.75</v>
      </c>
    </row>
    <row r="62" spans="5:5" x14ac:dyDescent="0.25">
      <c r="E62">
        <v>16</v>
      </c>
    </row>
    <row r="63" spans="5:5" x14ac:dyDescent="0.25">
      <c r="E63">
        <v>16.25</v>
      </c>
    </row>
    <row r="64" spans="5:5" x14ac:dyDescent="0.25">
      <c r="E64">
        <v>16.5</v>
      </c>
    </row>
    <row r="65" spans="5:5" x14ac:dyDescent="0.25">
      <c r="E65">
        <v>16.75</v>
      </c>
    </row>
    <row r="66" spans="5:5" x14ac:dyDescent="0.25">
      <c r="E66">
        <v>17</v>
      </c>
    </row>
    <row r="67" spans="5:5" x14ac:dyDescent="0.25">
      <c r="E67">
        <v>17.25</v>
      </c>
    </row>
    <row r="68" spans="5:5" x14ac:dyDescent="0.25">
      <c r="E68">
        <v>17.5</v>
      </c>
    </row>
    <row r="69" spans="5:5" x14ac:dyDescent="0.25">
      <c r="E69">
        <v>17.75</v>
      </c>
    </row>
    <row r="70" spans="5:5" x14ac:dyDescent="0.25">
      <c r="E70">
        <v>18</v>
      </c>
    </row>
    <row r="71" spans="5:5" x14ac:dyDescent="0.25">
      <c r="E71">
        <v>18.25</v>
      </c>
    </row>
    <row r="72" spans="5:5" x14ac:dyDescent="0.25">
      <c r="E72">
        <v>18.5</v>
      </c>
    </row>
    <row r="73" spans="5:5" x14ac:dyDescent="0.25">
      <c r="E73">
        <v>18.75</v>
      </c>
    </row>
    <row r="74" spans="5:5" x14ac:dyDescent="0.25">
      <c r="E74">
        <v>19</v>
      </c>
    </row>
    <row r="75" spans="5:5" x14ac:dyDescent="0.25">
      <c r="E75">
        <v>19.25</v>
      </c>
    </row>
    <row r="76" spans="5:5" x14ac:dyDescent="0.25">
      <c r="E76">
        <v>19.5</v>
      </c>
    </row>
    <row r="77" spans="5:5" x14ac:dyDescent="0.25">
      <c r="E77">
        <v>19.75</v>
      </c>
    </row>
    <row r="78" spans="5:5" x14ac:dyDescent="0.25">
      <c r="E78">
        <v>20</v>
      </c>
    </row>
    <row r="79" spans="5:5" x14ac:dyDescent="0.25">
      <c r="E79">
        <v>20.25</v>
      </c>
    </row>
    <row r="80" spans="5:5" x14ac:dyDescent="0.25">
      <c r="E80">
        <v>20.5</v>
      </c>
    </row>
    <row r="81" spans="5:5" x14ac:dyDescent="0.25">
      <c r="E81">
        <v>20.75</v>
      </c>
    </row>
    <row r="82" spans="5:5" x14ac:dyDescent="0.25">
      <c r="E82">
        <v>21</v>
      </c>
    </row>
    <row r="83" spans="5:5" x14ac:dyDescent="0.25">
      <c r="E83">
        <v>21.25</v>
      </c>
    </row>
    <row r="84" spans="5:5" x14ac:dyDescent="0.25">
      <c r="E84">
        <v>21.5</v>
      </c>
    </row>
    <row r="85" spans="5:5" x14ac:dyDescent="0.25">
      <c r="E85">
        <v>21.75</v>
      </c>
    </row>
    <row r="86" spans="5:5" x14ac:dyDescent="0.25">
      <c r="E86">
        <v>22</v>
      </c>
    </row>
    <row r="87" spans="5:5" x14ac:dyDescent="0.25">
      <c r="E87">
        <v>22.25</v>
      </c>
    </row>
    <row r="88" spans="5:5" x14ac:dyDescent="0.25">
      <c r="E88">
        <v>22.5</v>
      </c>
    </row>
    <row r="89" spans="5:5" x14ac:dyDescent="0.25">
      <c r="E89">
        <v>22.75</v>
      </c>
    </row>
    <row r="90" spans="5:5" x14ac:dyDescent="0.25">
      <c r="E90">
        <v>23</v>
      </c>
    </row>
    <row r="91" spans="5:5" x14ac:dyDescent="0.25">
      <c r="E91">
        <v>23.25</v>
      </c>
    </row>
    <row r="92" spans="5:5" x14ac:dyDescent="0.25">
      <c r="E92">
        <v>23.5</v>
      </c>
    </row>
    <row r="93" spans="5:5" x14ac:dyDescent="0.25">
      <c r="E93">
        <v>23.75</v>
      </c>
    </row>
    <row r="94" spans="5:5" x14ac:dyDescent="0.25">
      <c r="E94">
        <v>24</v>
      </c>
    </row>
    <row r="95" spans="5:5" x14ac:dyDescent="0.25">
      <c r="E95">
        <v>24.25</v>
      </c>
    </row>
    <row r="96" spans="5:5" x14ac:dyDescent="0.25">
      <c r="E96">
        <v>24.5</v>
      </c>
    </row>
    <row r="97" spans="5:5" x14ac:dyDescent="0.25">
      <c r="E97">
        <v>24.75</v>
      </c>
    </row>
    <row r="98" spans="5:5" x14ac:dyDescent="0.25">
      <c r="E98">
        <v>25</v>
      </c>
    </row>
    <row r="99" spans="5:5" x14ac:dyDescent="0.25">
      <c r="E99">
        <v>25.25</v>
      </c>
    </row>
    <row r="100" spans="5:5" x14ac:dyDescent="0.25">
      <c r="E100">
        <v>25.5</v>
      </c>
    </row>
    <row r="101" spans="5:5" x14ac:dyDescent="0.25">
      <c r="E101">
        <v>25.75</v>
      </c>
    </row>
    <row r="102" spans="5:5" x14ac:dyDescent="0.25">
      <c r="E102">
        <v>26</v>
      </c>
    </row>
    <row r="103" spans="5:5" x14ac:dyDescent="0.25">
      <c r="E103">
        <v>26.25</v>
      </c>
    </row>
    <row r="104" spans="5:5" x14ac:dyDescent="0.25">
      <c r="E104">
        <v>26.5</v>
      </c>
    </row>
    <row r="105" spans="5:5" x14ac:dyDescent="0.25">
      <c r="E105">
        <v>26.75</v>
      </c>
    </row>
    <row r="106" spans="5:5" x14ac:dyDescent="0.25">
      <c r="E106">
        <v>27</v>
      </c>
    </row>
    <row r="107" spans="5:5" x14ac:dyDescent="0.25">
      <c r="E107">
        <v>27.25</v>
      </c>
    </row>
    <row r="108" spans="5:5" x14ac:dyDescent="0.25">
      <c r="E108">
        <v>27.5</v>
      </c>
    </row>
    <row r="109" spans="5:5" x14ac:dyDescent="0.25">
      <c r="E109">
        <v>27.75</v>
      </c>
    </row>
    <row r="110" spans="5:5" x14ac:dyDescent="0.25">
      <c r="E110">
        <v>28</v>
      </c>
    </row>
    <row r="111" spans="5:5" x14ac:dyDescent="0.25">
      <c r="E111">
        <v>28.25</v>
      </c>
    </row>
    <row r="112" spans="5:5" x14ac:dyDescent="0.25">
      <c r="E112">
        <v>28.5</v>
      </c>
    </row>
    <row r="113" spans="5:5" x14ac:dyDescent="0.25">
      <c r="E113">
        <v>28.75</v>
      </c>
    </row>
    <row r="114" spans="5:5" x14ac:dyDescent="0.25">
      <c r="E114">
        <v>29</v>
      </c>
    </row>
    <row r="115" spans="5:5" x14ac:dyDescent="0.25">
      <c r="E115">
        <v>29.25</v>
      </c>
    </row>
    <row r="116" spans="5:5" x14ac:dyDescent="0.25">
      <c r="E116">
        <v>29.5</v>
      </c>
    </row>
    <row r="117" spans="5:5" x14ac:dyDescent="0.25">
      <c r="E117">
        <v>29.75</v>
      </c>
    </row>
    <row r="118" spans="5:5" x14ac:dyDescent="0.25">
      <c r="E118">
        <v>30</v>
      </c>
    </row>
  </sheetData>
  <sortState ref="G2:H5">
    <sortCondition ref="G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54"/>
  <sheetViews>
    <sheetView workbookViewId="0">
      <selection activeCell="J13" sqref="J13"/>
    </sheetView>
  </sheetViews>
  <sheetFormatPr defaultRowHeight="15" x14ac:dyDescent="0.25"/>
  <cols>
    <col min="1" max="1" width="31.85546875" bestFit="1" customWidth="1"/>
    <col min="2" max="2" width="11.140625" bestFit="1" customWidth="1"/>
    <col min="4" max="5" width="25.5703125" bestFit="1" customWidth="1"/>
    <col min="6" max="6" width="18.42578125" bestFit="1" customWidth="1"/>
    <col min="7" max="7" width="18.5703125" bestFit="1" customWidth="1"/>
    <col min="8" max="8" width="12.28515625" customWidth="1"/>
  </cols>
  <sheetData>
    <row r="1" spans="1:8" x14ac:dyDescent="0.25">
      <c r="A1" s="12">
        <v>1440</v>
      </c>
    </row>
    <row r="3" spans="1:8" x14ac:dyDescent="0.25">
      <c r="A3" s="12" t="s">
        <v>110</v>
      </c>
      <c r="B3" s="12" t="s">
        <v>117</v>
      </c>
      <c r="D3" s="12" t="s">
        <v>113</v>
      </c>
      <c r="E3" s="12" t="s">
        <v>114</v>
      </c>
      <c r="F3" s="12" t="s">
        <v>115</v>
      </c>
      <c r="G3" s="12" t="s">
        <v>53</v>
      </c>
      <c r="H3" s="12" t="s">
        <v>116</v>
      </c>
    </row>
    <row r="4" spans="1:8" x14ac:dyDescent="0.25">
      <c r="A4" s="12">
        <f>Results!I11</f>
        <v>7</v>
      </c>
      <c r="B4" s="12">
        <f>A1-A4</f>
        <v>1433</v>
      </c>
      <c r="D4" s="13">
        <f>Results!A11</f>
        <v>229000</v>
      </c>
      <c r="E4" s="12">
        <f>Results!I11</f>
        <v>7</v>
      </c>
      <c r="F4" s="12">
        <f>Results!C11</f>
        <v>5</v>
      </c>
      <c r="G4" s="12">
        <f>Results!E11</f>
        <v>1</v>
      </c>
      <c r="H4" s="12">
        <f>Results!G11</f>
        <v>1</v>
      </c>
    </row>
    <row r="5" spans="1:8" x14ac:dyDescent="0.25">
      <c r="D5" s="13">
        <f>Results!A13</f>
        <v>42000</v>
      </c>
      <c r="E5" s="12">
        <f>Results!I13</f>
        <v>107</v>
      </c>
      <c r="F5" s="12">
        <f>Results!C13</f>
        <v>5</v>
      </c>
      <c r="G5" s="12">
        <f>Results!E13</f>
        <v>100</v>
      </c>
      <c r="H5" s="12">
        <f>Results!G13</f>
        <v>2</v>
      </c>
    </row>
    <row r="6" spans="1:8" x14ac:dyDescent="0.25">
      <c r="A6" s="12" t="s">
        <v>111</v>
      </c>
      <c r="D6" s="13">
        <f>Results!A15</f>
        <v>170000</v>
      </c>
      <c r="E6" s="12">
        <f>Results!I15</f>
        <v>33</v>
      </c>
      <c r="F6" s="12">
        <f>Results!C15</f>
        <v>3</v>
      </c>
      <c r="G6" s="12">
        <f>Results!E15</f>
        <v>13</v>
      </c>
      <c r="H6" s="12">
        <f>Results!G15</f>
        <v>17</v>
      </c>
    </row>
    <row r="7" spans="1:8" s="1" customFormat="1" x14ac:dyDescent="0.25">
      <c r="A7" s="13">
        <f>Results!A11</f>
        <v>229000</v>
      </c>
      <c r="D7" s="13">
        <f>Results!A17</f>
        <v>40000</v>
      </c>
      <c r="E7" s="14">
        <f>Results!I17</f>
        <v>36</v>
      </c>
      <c r="F7" s="13">
        <f>Results!C17</f>
        <v>29</v>
      </c>
      <c r="G7" s="13">
        <f>Results!E17</f>
        <v>4</v>
      </c>
      <c r="H7" s="13">
        <f>Results!G17</f>
        <v>3</v>
      </c>
    </row>
    <row r="8" spans="1:8" x14ac:dyDescent="0.25">
      <c r="A8" s="12" t="s">
        <v>120</v>
      </c>
      <c r="B8" s="12" t="s">
        <v>112</v>
      </c>
      <c r="D8" s="13">
        <f>Results!A19</f>
        <v>20000</v>
      </c>
      <c r="E8" s="12">
        <f>Results!I19</f>
        <v>31</v>
      </c>
      <c r="F8" s="12">
        <f>Results!C19</f>
        <v>7</v>
      </c>
      <c r="G8" s="12">
        <f>Results!E19</f>
        <v>8</v>
      </c>
      <c r="H8" s="12">
        <f>Results!G19</f>
        <v>16</v>
      </c>
    </row>
    <row r="9" spans="1:8" s="1" customFormat="1" x14ac:dyDescent="0.25">
      <c r="A9" s="13">
        <f>Results!H22</f>
        <v>3119.9520163118955</v>
      </c>
      <c r="B9" s="13">
        <f>A7-A9</f>
        <v>225880.0479836881</v>
      </c>
    </row>
    <row r="10" spans="1:8" x14ac:dyDescent="0.25">
      <c r="C10" s="12"/>
      <c r="D10" s="12" t="s">
        <v>129</v>
      </c>
      <c r="E10" s="12" t="s">
        <v>117</v>
      </c>
    </row>
    <row r="11" spans="1:8" x14ac:dyDescent="0.25">
      <c r="A11" s="12" t="s">
        <v>118</v>
      </c>
      <c r="C11" s="12"/>
      <c r="D11" s="12">
        <f>Results!I13</f>
        <v>107</v>
      </c>
      <c r="E11" s="12">
        <f>$A$1-D11</f>
        <v>1333</v>
      </c>
    </row>
    <row r="12" spans="1:8" x14ac:dyDescent="0.25">
      <c r="A12" s="12">
        <f>Results!A13</f>
        <v>42000</v>
      </c>
      <c r="B12" s="12"/>
      <c r="C12" s="12"/>
      <c r="D12" s="12"/>
      <c r="E12" s="12"/>
    </row>
    <row r="13" spans="1:8" x14ac:dyDescent="0.25">
      <c r="A13" s="12" t="s">
        <v>119</v>
      </c>
      <c r="B13" s="12" t="s">
        <v>112</v>
      </c>
      <c r="C13" s="12"/>
      <c r="D13" s="12" t="s">
        <v>130</v>
      </c>
      <c r="E13" s="12" t="s">
        <v>117</v>
      </c>
    </row>
    <row r="14" spans="1:8" s="1" customFormat="1" x14ac:dyDescent="0.25">
      <c r="A14" s="13">
        <f>Results!H23</f>
        <v>916.86892875589342</v>
      </c>
      <c r="B14" s="13">
        <f>A12-A14</f>
        <v>41083.131071244105</v>
      </c>
      <c r="C14" s="13"/>
      <c r="D14" s="14">
        <f>Results!I15</f>
        <v>33</v>
      </c>
      <c r="E14" s="14">
        <f>$A$1-D14</f>
        <v>1407</v>
      </c>
    </row>
    <row r="15" spans="1:8" x14ac:dyDescent="0.25">
      <c r="A15" s="12"/>
      <c r="B15" s="12"/>
      <c r="C15" s="12"/>
      <c r="D15" s="12"/>
      <c r="E15" s="12"/>
    </row>
    <row r="16" spans="1:8" x14ac:dyDescent="0.25">
      <c r="A16" s="12" t="s">
        <v>121</v>
      </c>
      <c r="B16" s="12"/>
      <c r="C16" s="12"/>
      <c r="D16" s="12" t="s">
        <v>131</v>
      </c>
      <c r="E16" s="12" t="s">
        <v>117</v>
      </c>
    </row>
    <row r="17" spans="1:5" s="1" customFormat="1" x14ac:dyDescent="0.25">
      <c r="A17" s="13">
        <f>Results!A15</f>
        <v>170000</v>
      </c>
      <c r="B17" s="13"/>
      <c r="C17" s="13"/>
      <c r="D17" s="14">
        <f>Results!I17</f>
        <v>36</v>
      </c>
      <c r="E17" s="12">
        <f>$A$1-D17</f>
        <v>1404</v>
      </c>
    </row>
    <row r="18" spans="1:5" x14ac:dyDescent="0.25">
      <c r="A18" s="12" t="s">
        <v>122</v>
      </c>
      <c r="B18" s="12" t="s">
        <v>123</v>
      </c>
      <c r="C18" s="12"/>
      <c r="D18" s="12"/>
      <c r="E18" s="12"/>
    </row>
    <row r="19" spans="1:5" s="1" customFormat="1" x14ac:dyDescent="0.25">
      <c r="A19" s="13">
        <f>Results!H24</f>
        <v>2644.4694735357593</v>
      </c>
      <c r="B19" s="13">
        <f>A17-A19</f>
        <v>167355.53052646425</v>
      </c>
      <c r="C19" s="13"/>
      <c r="D19" s="12" t="s">
        <v>132</v>
      </c>
      <c r="E19" s="12" t="s">
        <v>117</v>
      </c>
    </row>
    <row r="20" spans="1:5" x14ac:dyDescent="0.25">
      <c r="A20" s="12"/>
      <c r="B20" s="12"/>
      <c r="C20" s="12"/>
      <c r="D20" s="12">
        <f>Results!I19</f>
        <v>31</v>
      </c>
      <c r="E20" s="12">
        <f>$A$1-D20</f>
        <v>1409</v>
      </c>
    </row>
    <row r="21" spans="1:5" x14ac:dyDescent="0.25">
      <c r="A21" s="12" t="s">
        <v>124</v>
      </c>
    </row>
    <row r="22" spans="1:5" x14ac:dyDescent="0.25">
      <c r="A22" s="12">
        <f>Results!A17</f>
        <v>40000</v>
      </c>
      <c r="B22" s="12"/>
    </row>
    <row r="23" spans="1:5" x14ac:dyDescent="0.25">
      <c r="A23" s="12" t="s">
        <v>125</v>
      </c>
      <c r="B23" s="12" t="s">
        <v>123</v>
      </c>
    </row>
    <row r="24" spans="1:5" x14ac:dyDescent="0.25">
      <c r="A24" s="12">
        <f>Results!H25</f>
        <v>889.87517024370811</v>
      </c>
      <c r="B24" s="12">
        <f>A22-A24</f>
        <v>39110.124829756292</v>
      </c>
    </row>
    <row r="25" spans="1:5" x14ac:dyDescent="0.25">
      <c r="A25" s="12"/>
      <c r="B25" s="12"/>
    </row>
    <row r="26" spans="1:5" x14ac:dyDescent="0.25">
      <c r="A26" s="12" t="s">
        <v>126</v>
      </c>
      <c r="B26" s="12"/>
    </row>
    <row r="27" spans="1:5" x14ac:dyDescent="0.25">
      <c r="A27" s="12">
        <f>Results!A19</f>
        <v>20000</v>
      </c>
      <c r="B27" s="12"/>
    </row>
    <row r="28" spans="1:5" x14ac:dyDescent="0.25">
      <c r="A28" s="12" t="s">
        <v>127</v>
      </c>
      <c r="B28" s="12" t="s">
        <v>128</v>
      </c>
    </row>
    <row r="29" spans="1:5" x14ac:dyDescent="0.25">
      <c r="A29" s="12">
        <f>Results!H26</f>
        <v>619.937585121854</v>
      </c>
      <c r="B29" s="12">
        <f>A27-A29</f>
        <v>19380.062414878146</v>
      </c>
    </row>
    <row r="30" spans="1:5" x14ac:dyDescent="0.25">
      <c r="A30" s="12"/>
      <c r="B30" s="12"/>
    </row>
    <row r="50" spans="5:6" x14ac:dyDescent="0.25">
      <c r="E50" s="12" t="s">
        <v>131</v>
      </c>
      <c r="F50" s="12" t="s">
        <v>117</v>
      </c>
    </row>
    <row r="51" spans="5:6" x14ac:dyDescent="0.25">
      <c r="E51" s="14">
        <f>Results!I17</f>
        <v>36</v>
      </c>
      <c r="F51" s="12">
        <f>$A$1-E51</f>
        <v>1404</v>
      </c>
    </row>
    <row r="52" spans="5:6" x14ac:dyDescent="0.25">
      <c r="E52" s="12"/>
      <c r="F52" s="12"/>
    </row>
    <row r="53" spans="5:6" x14ac:dyDescent="0.25">
      <c r="E53" s="12" t="s">
        <v>132</v>
      </c>
      <c r="F53" s="12" t="s">
        <v>117</v>
      </c>
    </row>
    <row r="54" spans="5:6" x14ac:dyDescent="0.25">
      <c r="E54" s="12">
        <f>Results!I19</f>
        <v>31</v>
      </c>
      <c r="F54" s="12">
        <f>$A$1-E54</f>
        <v>1409</v>
      </c>
    </row>
  </sheetData>
  <sheetProtection algorithmName="SHA-512" hashValue="HuQ5601OxJglcCZv7Hyxe+li+xPyv/C56kDclf+4gRhbwF405oUIyCEJePGjQOeVNb0V8tScB9FXOLmUPGnKqw==" saltValue="y1iO4IBfh8mKXxo/O1eB/Q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4" name="Button 3">
              <controlPr defaultSize="0" print="0" autoFill="0" autoPict="0" macro="[0]!Results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Results</vt:lpstr>
      <vt:lpstr>CALCULATOR</vt:lpstr>
      <vt:lpstr>Dropdowns</vt:lpstr>
      <vt:lpstr>Charts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Limb</dc:creator>
  <cp:lastModifiedBy>Benjamin Limb</cp:lastModifiedBy>
  <dcterms:created xsi:type="dcterms:W3CDTF">2016-12-01T03:35:06Z</dcterms:created>
  <dcterms:modified xsi:type="dcterms:W3CDTF">2016-12-26T06:42:43Z</dcterms:modified>
</cp:coreProperties>
</file>